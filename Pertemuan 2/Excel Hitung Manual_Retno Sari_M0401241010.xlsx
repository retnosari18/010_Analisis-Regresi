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tno\Documents\MATERI KULIAH\Semester 4\"/>
    </mc:Choice>
  </mc:AlternateContent>
  <xr:revisionPtr revIDLastSave="0" documentId="13_ncr:1_{48FCFB96-B60E-4627-9A56-4DF1537DCC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Jawaban Rere" sheetId="7" r:id="rId1"/>
    <sheet name="Sheet2" sheetId="6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5" i="7" l="1"/>
  <c r="I126" i="7"/>
  <c r="M2" i="7"/>
  <c r="N2" i="7"/>
  <c r="I3" i="7"/>
  <c r="I4" i="7"/>
  <c r="O4" i="7" s="1"/>
  <c r="I5" i="7"/>
  <c r="I6" i="7"/>
  <c r="I7" i="7"/>
  <c r="I8" i="7"/>
  <c r="I9" i="7"/>
  <c r="I10" i="7"/>
  <c r="I11" i="7"/>
  <c r="O11" i="7" s="1"/>
  <c r="I12" i="7"/>
  <c r="O12" i="7" s="1"/>
  <c r="I13" i="7"/>
  <c r="I14" i="7"/>
  <c r="O14" i="7" s="1"/>
  <c r="I15" i="7"/>
  <c r="O15" i="7" s="1"/>
  <c r="I16" i="7"/>
  <c r="I17" i="7"/>
  <c r="O17" i="7" s="1"/>
  <c r="I18" i="7"/>
  <c r="I19" i="7"/>
  <c r="I20" i="7"/>
  <c r="I21" i="7"/>
  <c r="I22" i="7"/>
  <c r="I23" i="7"/>
  <c r="I24" i="7"/>
  <c r="O24" i="7" s="1"/>
  <c r="I25" i="7"/>
  <c r="O25" i="7" s="1"/>
  <c r="I26" i="7"/>
  <c r="I27" i="7"/>
  <c r="I28" i="7"/>
  <c r="I29" i="7"/>
  <c r="I30" i="7"/>
  <c r="I31" i="7"/>
  <c r="I32" i="7"/>
  <c r="I33" i="7"/>
  <c r="I34" i="7"/>
  <c r="O34" i="7" s="1"/>
  <c r="I35" i="7"/>
  <c r="I36" i="7"/>
  <c r="I37" i="7"/>
  <c r="O37" i="7" s="1"/>
  <c r="I38" i="7"/>
  <c r="I39" i="7"/>
  <c r="I40" i="7"/>
  <c r="I41" i="7"/>
  <c r="I42" i="7"/>
  <c r="I43" i="7"/>
  <c r="I44" i="7"/>
  <c r="O44" i="7" s="1"/>
  <c r="I45" i="7"/>
  <c r="I46" i="7"/>
  <c r="I47" i="7"/>
  <c r="I48" i="7"/>
  <c r="I49" i="7"/>
  <c r="I50" i="7"/>
  <c r="I51" i="7"/>
  <c r="I52" i="7"/>
  <c r="I53" i="7"/>
  <c r="I54" i="7"/>
  <c r="O54" i="7" s="1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O74" i="7" s="1"/>
  <c r="I75" i="7"/>
  <c r="I76" i="7"/>
  <c r="I77" i="7"/>
  <c r="I78" i="7"/>
  <c r="I79" i="7"/>
  <c r="I80" i="7"/>
  <c r="I81" i="7"/>
  <c r="I82" i="7"/>
  <c r="I83" i="7"/>
  <c r="I84" i="7"/>
  <c r="I85" i="7"/>
  <c r="O85" i="7" s="1"/>
  <c r="I86" i="7"/>
  <c r="I87" i="7"/>
  <c r="I88" i="7"/>
  <c r="I89" i="7"/>
  <c r="I90" i="7"/>
  <c r="I91" i="7"/>
  <c r="I92" i="7"/>
  <c r="I93" i="7"/>
  <c r="I94" i="7"/>
  <c r="O94" i="7" s="1"/>
  <c r="I95" i="7"/>
  <c r="I96" i="7"/>
  <c r="I97" i="7"/>
  <c r="O97" i="7" s="1"/>
  <c r="I98" i="7"/>
  <c r="I99" i="7"/>
  <c r="I100" i="7"/>
  <c r="I101" i="7"/>
  <c r="I102" i="7"/>
  <c r="I103" i="7"/>
  <c r="I104" i="7"/>
  <c r="I105" i="7"/>
  <c r="I106" i="7"/>
  <c r="I107" i="7"/>
  <c r="O107" i="7" s="1"/>
  <c r="I108" i="7"/>
  <c r="I109" i="7"/>
  <c r="O109" i="7" s="1"/>
  <c r="I110" i="7"/>
  <c r="I111" i="7"/>
  <c r="I112" i="7"/>
  <c r="I113" i="7"/>
  <c r="I114" i="7"/>
  <c r="I115" i="7"/>
  <c r="I116" i="7"/>
  <c r="I117" i="7"/>
  <c r="I118" i="7"/>
  <c r="I119" i="7"/>
  <c r="I120" i="7"/>
  <c r="I2" i="7"/>
  <c r="M3" i="7"/>
  <c r="N3" i="7" s="1"/>
  <c r="M4" i="7"/>
  <c r="N4" i="7"/>
  <c r="M5" i="7"/>
  <c r="N5" i="7"/>
  <c r="M6" i="7"/>
  <c r="N6" i="7"/>
  <c r="O6" i="7"/>
  <c r="M7" i="7"/>
  <c r="O7" i="7" s="1"/>
  <c r="N7" i="7"/>
  <c r="M8" i="7"/>
  <c r="N8" i="7" s="1"/>
  <c r="M9" i="7"/>
  <c r="N9" i="7"/>
  <c r="M10" i="7"/>
  <c r="N10" i="7"/>
  <c r="M11" i="7"/>
  <c r="N11" i="7"/>
  <c r="M12" i="7"/>
  <c r="N12" i="7" s="1"/>
  <c r="M13" i="7"/>
  <c r="N13" i="7" s="1"/>
  <c r="M14" i="7"/>
  <c r="N14" i="7" s="1"/>
  <c r="M15" i="7"/>
  <c r="N15" i="7" s="1"/>
  <c r="M16" i="7"/>
  <c r="N16" i="7"/>
  <c r="M17" i="7"/>
  <c r="N17" i="7"/>
  <c r="M18" i="7"/>
  <c r="N18" i="7"/>
  <c r="M19" i="7"/>
  <c r="N19" i="7"/>
  <c r="M20" i="7"/>
  <c r="N20" i="7"/>
  <c r="M21" i="7"/>
  <c r="N21" i="7" s="1"/>
  <c r="M22" i="7"/>
  <c r="N22" i="7"/>
  <c r="M23" i="7"/>
  <c r="N23" i="7" s="1"/>
  <c r="M24" i="7"/>
  <c r="N24" i="7"/>
  <c r="M25" i="7"/>
  <c r="N25" i="7" s="1"/>
  <c r="M26" i="7"/>
  <c r="N26" i="7"/>
  <c r="M27" i="7"/>
  <c r="N27" i="7"/>
  <c r="M28" i="7"/>
  <c r="N28" i="7"/>
  <c r="M29" i="7"/>
  <c r="N29" i="7"/>
  <c r="M30" i="7"/>
  <c r="N30" i="7"/>
  <c r="M31" i="7"/>
  <c r="N31" i="7" s="1"/>
  <c r="M32" i="7"/>
  <c r="N32" i="7"/>
  <c r="O32" i="7"/>
  <c r="M33" i="7"/>
  <c r="N33" i="7" s="1"/>
  <c r="M34" i="7"/>
  <c r="N34" i="7"/>
  <c r="M35" i="7"/>
  <c r="N35" i="7" s="1"/>
  <c r="M36" i="7"/>
  <c r="N36" i="7"/>
  <c r="M37" i="7"/>
  <c r="N37" i="7"/>
  <c r="M38" i="7"/>
  <c r="N38" i="7"/>
  <c r="M39" i="7"/>
  <c r="N39" i="7"/>
  <c r="M40" i="7"/>
  <c r="N40" i="7"/>
  <c r="M41" i="7"/>
  <c r="N41" i="7" s="1"/>
  <c r="M42" i="7"/>
  <c r="N42" i="7"/>
  <c r="M43" i="7"/>
  <c r="N43" i="7" s="1"/>
  <c r="M44" i="7"/>
  <c r="N44" i="7"/>
  <c r="M45" i="7"/>
  <c r="N45" i="7" s="1"/>
  <c r="M46" i="7"/>
  <c r="N46" i="7"/>
  <c r="M47" i="7"/>
  <c r="N47" i="7"/>
  <c r="M48" i="7"/>
  <c r="N48" i="7"/>
  <c r="M49" i="7"/>
  <c r="N49" i="7" s="1"/>
  <c r="M50" i="7"/>
  <c r="N50" i="7"/>
  <c r="O50" i="7"/>
  <c r="M51" i="7"/>
  <c r="N51" i="7" s="1"/>
  <c r="M52" i="7"/>
  <c r="N52" i="7" s="1"/>
  <c r="M53" i="7"/>
  <c r="N53" i="7"/>
  <c r="M54" i="7"/>
  <c r="N54" i="7" s="1"/>
  <c r="M55" i="7"/>
  <c r="N55" i="7"/>
  <c r="M56" i="7"/>
  <c r="N56" i="7" s="1"/>
  <c r="M57" i="7"/>
  <c r="N57" i="7"/>
  <c r="M58" i="7"/>
  <c r="N58" i="7"/>
  <c r="M59" i="7"/>
  <c r="N59" i="7"/>
  <c r="M60" i="7"/>
  <c r="N60" i="7"/>
  <c r="M61" i="7"/>
  <c r="N61" i="7"/>
  <c r="M62" i="7"/>
  <c r="N62" i="7"/>
  <c r="M63" i="7"/>
  <c r="N63" i="7"/>
  <c r="M64" i="7"/>
  <c r="N64" i="7"/>
  <c r="M65" i="7"/>
  <c r="N65" i="7"/>
  <c r="M66" i="7"/>
  <c r="N66" i="7" s="1"/>
  <c r="M67" i="7"/>
  <c r="N67" i="7"/>
  <c r="O67" i="7"/>
  <c r="M68" i="7"/>
  <c r="N68" i="7"/>
  <c r="M69" i="7"/>
  <c r="N69" i="7" s="1"/>
  <c r="M70" i="7"/>
  <c r="N70" i="7" s="1"/>
  <c r="M71" i="7"/>
  <c r="N71" i="7"/>
  <c r="M72" i="7"/>
  <c r="N72" i="7"/>
  <c r="M73" i="7"/>
  <c r="N73" i="7"/>
  <c r="M74" i="7"/>
  <c r="N74" i="7"/>
  <c r="M75" i="7"/>
  <c r="N75" i="7"/>
  <c r="M76" i="7"/>
  <c r="N76" i="7" s="1"/>
  <c r="M77" i="7"/>
  <c r="N77" i="7" s="1"/>
  <c r="M78" i="7"/>
  <c r="N78" i="7" s="1"/>
  <c r="M79" i="7"/>
  <c r="N79" i="7"/>
  <c r="M80" i="7"/>
  <c r="N80" i="7"/>
  <c r="M81" i="7"/>
  <c r="N81" i="7"/>
  <c r="M82" i="7"/>
  <c r="N82" i="7"/>
  <c r="M83" i="7"/>
  <c r="N83" i="7"/>
  <c r="M84" i="7"/>
  <c r="N84" i="7"/>
  <c r="O84" i="7"/>
  <c r="M85" i="7"/>
  <c r="N85" i="7" s="1"/>
  <c r="M86" i="7"/>
  <c r="N86" i="7" s="1"/>
  <c r="M87" i="7"/>
  <c r="N87" i="7" s="1"/>
  <c r="M88" i="7"/>
  <c r="N88" i="7"/>
  <c r="M89" i="7"/>
  <c r="N89" i="7"/>
  <c r="M90" i="7"/>
  <c r="N90" i="7"/>
  <c r="M91" i="7"/>
  <c r="N91" i="7" s="1"/>
  <c r="M92" i="7"/>
  <c r="N92" i="7"/>
  <c r="M93" i="7"/>
  <c r="N93" i="7"/>
  <c r="M94" i="7"/>
  <c r="N94" i="7"/>
  <c r="M95" i="7"/>
  <c r="N95" i="7" s="1"/>
  <c r="M96" i="7"/>
  <c r="N96" i="7" s="1"/>
  <c r="M97" i="7"/>
  <c r="N97" i="7"/>
  <c r="M98" i="7"/>
  <c r="N98" i="7" s="1"/>
  <c r="M99" i="7"/>
  <c r="N99" i="7"/>
  <c r="M100" i="7"/>
  <c r="N100" i="7"/>
  <c r="M101" i="7"/>
  <c r="N101" i="7"/>
  <c r="M102" i="7"/>
  <c r="N102" i="7"/>
  <c r="M103" i="7"/>
  <c r="N103" i="7"/>
  <c r="M104" i="7"/>
  <c r="N104" i="7" s="1"/>
  <c r="M105" i="7"/>
  <c r="N105" i="7"/>
  <c r="M106" i="7"/>
  <c r="N106" i="7"/>
  <c r="M107" i="7"/>
  <c r="N107" i="7"/>
  <c r="M108" i="7"/>
  <c r="N108" i="7" s="1"/>
  <c r="M109" i="7"/>
  <c r="N109" i="7"/>
  <c r="M110" i="7"/>
  <c r="N110" i="7"/>
  <c r="O110" i="7"/>
  <c r="M111" i="7"/>
  <c r="N111" i="7"/>
  <c r="M112" i="7"/>
  <c r="N112" i="7" s="1"/>
  <c r="M113" i="7"/>
  <c r="N113" i="7"/>
  <c r="M114" i="7"/>
  <c r="N114" i="7" s="1"/>
  <c r="M115" i="7"/>
  <c r="N115" i="7" s="1"/>
  <c r="M116" i="7"/>
  <c r="N116" i="7"/>
  <c r="M117" i="7"/>
  <c r="N117" i="7" s="1"/>
  <c r="M118" i="7"/>
  <c r="N118" i="7"/>
  <c r="M119" i="7"/>
  <c r="N119" i="7"/>
  <c r="M120" i="7"/>
  <c r="N120" i="7"/>
  <c r="C122" i="7"/>
  <c r="B122" i="7"/>
  <c r="O111" i="7" l="1"/>
  <c r="O91" i="7"/>
  <c r="O71" i="7"/>
  <c r="O31" i="7"/>
  <c r="O70" i="7"/>
  <c r="O10" i="7"/>
  <c r="O28" i="7"/>
  <c r="O66" i="7"/>
  <c r="O87" i="7"/>
  <c r="O47" i="7"/>
  <c r="O27" i="7"/>
  <c r="O106" i="7"/>
  <c r="O46" i="7"/>
  <c r="O26" i="7"/>
  <c r="O93" i="7"/>
  <c r="O112" i="7"/>
  <c r="O92" i="7"/>
  <c r="O72" i="7"/>
  <c r="O52" i="7"/>
  <c r="O90" i="7"/>
  <c r="O30" i="7"/>
  <c r="O89" i="7"/>
  <c r="O69" i="7"/>
  <c r="O49" i="7"/>
  <c r="O29" i="7"/>
  <c r="O9" i="7"/>
  <c r="O16" i="7"/>
  <c r="O105" i="7"/>
  <c r="O45" i="7"/>
  <c r="O104" i="7"/>
  <c r="O64" i="7"/>
  <c r="O75" i="7"/>
  <c r="O114" i="7"/>
  <c r="O96" i="7"/>
  <c r="M122" i="7"/>
  <c r="O62" i="7"/>
  <c r="I122" i="7"/>
  <c r="O61" i="7"/>
  <c r="O80" i="7"/>
  <c r="O60" i="7"/>
  <c r="O79" i="7"/>
  <c r="O86" i="7"/>
  <c r="O65" i="7"/>
  <c r="O5" i="7"/>
  <c r="O82" i="7"/>
  <c r="O42" i="7"/>
  <c r="O101" i="7"/>
  <c r="O120" i="7"/>
  <c r="O40" i="7"/>
  <c r="O20" i="7"/>
  <c r="O119" i="7"/>
  <c r="O99" i="7"/>
  <c r="O59" i="7"/>
  <c r="O19" i="7"/>
  <c r="O77" i="7"/>
  <c r="O2" i="7"/>
  <c r="O95" i="7"/>
  <c r="O116" i="7"/>
  <c r="O76" i="7"/>
  <c r="O56" i="7"/>
  <c r="O36" i="7"/>
  <c r="O51" i="7"/>
  <c r="O102" i="7"/>
  <c r="O22" i="7"/>
  <c r="O81" i="7"/>
  <c r="O41" i="7"/>
  <c r="O21" i="7"/>
  <c r="O100" i="7"/>
  <c r="O39" i="7"/>
  <c r="O117" i="7"/>
  <c r="O57" i="7"/>
  <c r="O115" i="7"/>
  <c r="O55" i="7"/>
  <c r="O35" i="7"/>
  <c r="O53" i="7"/>
  <c r="O58" i="7"/>
  <c r="O63" i="7"/>
  <c r="O68" i="7"/>
  <c r="O73" i="7"/>
  <c r="O78" i="7"/>
  <c r="O83" i="7"/>
  <c r="O88" i="7"/>
  <c r="O33" i="7"/>
  <c r="O38" i="7"/>
  <c r="O43" i="7"/>
  <c r="O48" i="7"/>
  <c r="O98" i="7"/>
  <c r="O103" i="7"/>
  <c r="O3" i="7"/>
  <c r="O108" i="7"/>
  <c r="O8" i="7"/>
  <c r="O113" i="7"/>
  <c r="O13" i="7"/>
  <c r="O118" i="7"/>
  <c r="O18" i="7"/>
  <c r="O23" i="7"/>
  <c r="N122" i="7"/>
  <c r="O122" i="7" l="1"/>
</calcChain>
</file>

<file path=xl/sharedStrings.xml><?xml version="1.0" encoding="utf-8"?>
<sst xmlns="http://schemas.openxmlformats.org/spreadsheetml/2006/main" count="2440" uniqueCount="1741">
  <si>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</si>
  <si>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</si>
  <si>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</si>
  <si>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</si>
  <si>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</si>
  <si>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</si>
  <si>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</si>
  <si>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</si>
  <si>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</si>
  <si>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</si>
  <si>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</si>
  <si>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</si>
  <si>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</si>
  <si>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</si>
  <si>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</si>
  <si>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</si>
  <si>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</si>
  <si>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</si>
  <si>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</si>
  <si>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</si>
  <si>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</si>
  <si>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</si>
  <si>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</si>
  <si>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</si>
  <si>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</si>
  <si>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</si>
  <si>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</si>
  <si>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</si>
  <si>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</si>
  <si>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</si>
  <si>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</si>
  <si>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</si>
  <si>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</si>
  <si>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</si>
  <si>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</si>
  <si>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</si>
  <si>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</si>
  <si>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</si>
  <si>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</si>
  <si>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</si>
  <si>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</si>
  <si>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</si>
  <si>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</si>
  <si>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</si>
  <si>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</si>
  <si>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</si>
  <si>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</si>
  <si>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</si>
  <si>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</si>
  <si>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</si>
  <si>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</si>
  <si>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</si>
  <si>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</si>
  <si>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</si>
  <si>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</si>
  <si>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</si>
  <si>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</si>
  <si>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</si>
  <si>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</si>
  <si>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</si>
  <si>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</si>
  <si>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</si>
  <si>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</si>
  <si>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</si>
  <si>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</si>
  <si>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</si>
  <si>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</si>
  <si>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</si>
  <si>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</si>
  <si>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</si>
  <si>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</si>
  <si>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</si>
  <si>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</si>
  <si>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</si>
  <si>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</si>
  <si>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</si>
  <si>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</si>
  <si>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</si>
  <si>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</si>
  <si>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</si>
  <si>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</si>
  <si>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</si>
  <si>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</si>
  <si>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</si>
  <si>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</si>
  <si>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</si>
  <si>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</si>
  <si>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</si>
  <si>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</si>
  <si>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</si>
  <si>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</si>
  <si>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</si>
  <si>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</si>
  <si>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</si>
  <si>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</si>
  <si>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</si>
  <si>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</si>
  <si>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</si>
  <si>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</si>
  <si>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</si>
  <si>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</si>
  <si>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</si>
  <si>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</si>
  <si>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</si>
  <si>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</si>
  <si>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</si>
  <si>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</si>
  <si>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</si>
  <si>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</si>
  <si>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</si>
  <si>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</si>
  <si>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</si>
  <si>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</si>
  <si>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</si>
  <si>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</si>
  <si>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</si>
  <si>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</si>
  <si>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</si>
  <si>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</si>
  <si>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</si>
  <si>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</si>
  <si>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</si>
  <si>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</si>
  <si>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</si>
  <si>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</si>
  <si>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</si>
  <si>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</si>
  <si>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</si>
  <si>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</si>
  <si>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</si>
  <si>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</si>
  <si>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</si>
  <si>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</si>
  <si>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</si>
  <si>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</si>
  <si>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</si>
  <si>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</si>
  <si>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</si>
  <si>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</si>
  <si>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</si>
  <si>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</si>
  <si>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</si>
  <si>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</si>
  <si>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</si>
  <si>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</si>
  <si>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</si>
  <si>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</si>
  <si>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</si>
  <si>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</si>
  <si>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</si>
  <si>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</si>
  <si>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</si>
  <si>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</si>
  <si>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</si>
  <si>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</si>
  <si>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</si>
  <si>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</si>
  <si>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</si>
  <si>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</si>
  <si>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</si>
  <si>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</si>
  <si>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</si>
  <si>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</si>
  <si>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</si>
  <si>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</si>
  <si>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</si>
  <si>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</si>
  <si>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</si>
  <si>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</si>
  <si>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</si>
  <si>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</si>
  <si>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</si>
  <si>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</si>
  <si>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</si>
  <si>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</si>
  <si>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</si>
  <si>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</si>
  <si>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</si>
  <si>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</si>
  <si>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</si>
  <si>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</si>
  <si>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</si>
  <si>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</si>
  <si>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</si>
  <si>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</si>
  <si>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</si>
  <si>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</si>
  <si>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</si>
  <si>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</si>
  <si>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</si>
  <si>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</si>
  <si>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</si>
  <si>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</si>
  <si>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</si>
  <si>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</si>
  <si>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</si>
  <si>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</si>
  <si>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</si>
  <si>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</si>
  <si>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</si>
  <si>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</si>
  <si>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</si>
  <si>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</si>
  <si>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</si>
  <si>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</si>
  <si>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</si>
  <si>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</si>
  <si>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</si>
  <si>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</si>
  <si>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</si>
  <si>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</si>
  <si>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</si>
  <si>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</si>
  <si>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</si>
  <si>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</si>
  <si>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</si>
  <si>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</si>
  <si>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</si>
  <si>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</si>
  <si>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</si>
  <si>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</si>
  <si>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</si>
  <si>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</si>
  <si>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</si>
  <si>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</si>
  <si>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</si>
  <si>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</si>
  <si>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</si>
  <si>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</si>
  <si>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</si>
  <si>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</si>
  <si>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</si>
  <si>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</si>
  <si>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</si>
  <si>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</si>
  <si>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</si>
  <si>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</si>
  <si>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</si>
  <si>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</si>
  <si>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</si>
  <si>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</si>
  <si>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</si>
  <si>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</si>
  <si>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</si>
  <si>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</si>
  <si>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</si>
  <si>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</si>
  <si>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</si>
  <si>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</si>
  <si>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</si>
  <si>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</si>
  <si>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</si>
  <si>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</si>
  <si>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</si>
  <si>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</si>
  <si>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</si>
  <si>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</si>
  <si>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</si>
  <si>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</si>
  <si>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</si>
  <si>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</si>
  <si>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</si>
  <si>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</si>
  <si>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</si>
  <si>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</si>
  <si>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</si>
  <si>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</si>
  <si>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</si>
  <si>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</si>
  <si>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</si>
  <si>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</si>
  <si>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</si>
  <si>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</si>
  <si>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</si>
  <si>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</si>
  <si>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</si>
  <si>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</si>
  <si>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</si>
  <si>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</si>
  <si>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</si>
  <si>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</si>
  <si>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</si>
  <si>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</si>
  <si>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</si>
  <si>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</si>
  <si>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</si>
  <si>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</si>
  <si>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</si>
  <si>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</si>
  <si>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</si>
  <si>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</si>
  <si>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</si>
  <si>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</si>
  <si>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</si>
  <si>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</si>
  <si>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</si>
  <si>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</si>
  <si>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</si>
  <si>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</si>
  <si>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</si>
  <si>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</si>
  <si>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</si>
  <si>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</si>
  <si>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</si>
  <si>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</si>
  <si>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</si>
  <si>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</si>
  <si>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</si>
  <si>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</si>
  <si>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</si>
  <si>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</si>
  <si>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</si>
  <si>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</si>
  <si>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</si>
  <si>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</si>
  <si>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</si>
  <si>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</si>
  <si>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</si>
  <si>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</si>
  <si>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</si>
  <si>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</si>
  <si>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</si>
  <si>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</si>
  <si>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</si>
  <si>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</si>
  <si>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</si>
  <si>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</si>
  <si>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</si>
  <si>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</si>
  <si>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</si>
  <si>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</si>
  <si>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</si>
  <si>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</si>
  <si>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</si>
  <si>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</si>
  <si>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</si>
  <si>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</si>
  <si>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</si>
  <si>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</si>
  <si>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</si>
  <si>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</si>
  <si>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</si>
  <si>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</si>
  <si>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</si>
  <si>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</si>
  <si>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</si>
  <si>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</si>
  <si>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</si>
  <si>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</si>
  <si>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</si>
  <si>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</si>
  <si>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</si>
  <si>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</si>
  <si>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</si>
  <si>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</si>
  <si>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</si>
  <si>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</si>
  <si>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</si>
  <si>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</si>
  <si>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</si>
  <si>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</si>
  <si>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</si>
  <si>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</si>
  <si>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</si>
  <si>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</si>
  <si>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</si>
  <si>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</si>
  <si>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</si>
  <si>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</si>
  <si>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</si>
  <si>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</si>
  <si>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</si>
  <si>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</si>
  <si>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</si>
  <si>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</si>
  <si>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</si>
  <si>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</si>
  <si>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</si>
  <si>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</si>
  <si>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</si>
  <si>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</si>
  <si>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</si>
  <si>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</si>
  <si>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</si>
  <si>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</si>
  <si>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</si>
  <si>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</si>
  <si>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</si>
  <si>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</si>
  <si>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</si>
  <si>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</si>
  <si>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</si>
  <si>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</si>
  <si>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</si>
  <si>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</si>
  <si>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</si>
  <si>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</si>
  <si>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</si>
  <si>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</si>
  <si>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</si>
  <si>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</si>
  <si>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</si>
  <si>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</si>
  <si>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</si>
  <si>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</si>
  <si>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</si>
  <si>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</si>
  <si>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</si>
  <si>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</si>
  <si>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</si>
  <si>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</si>
  <si>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</si>
  <si>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</si>
  <si>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</si>
  <si>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</si>
  <si>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</si>
  <si>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</si>
  <si>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</si>
  <si>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</si>
  <si>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</si>
  <si>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</si>
  <si>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</si>
  <si>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</si>
  <si>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</si>
  <si>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</si>
  <si>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</si>
  <si>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</si>
  <si>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</si>
  <si>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</si>
  <si>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</si>
  <si>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</si>
  <si>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</si>
  <si>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</si>
  <si>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</si>
  <si>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</si>
  <si>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</si>
  <si>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</si>
  <si>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</si>
  <si>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</si>
  <si>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</si>
  <si>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</si>
  <si>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</si>
  <si>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</si>
  <si>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</si>
  <si>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</si>
  <si>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</si>
  <si>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</si>
  <si>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</si>
  <si>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</si>
  <si>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</si>
  <si>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</si>
  <si>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</si>
  <si>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</si>
  <si>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</si>
  <si>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</si>
  <si>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</si>
  <si>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</si>
  <si>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</si>
  <si>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</si>
  <si>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</si>
  <si>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</si>
  <si>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</si>
  <si>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</si>
  <si>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</si>
  <si>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</si>
  <si>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</si>
  <si>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</si>
  <si>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</si>
  <si>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</si>
  <si>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</si>
  <si>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</si>
  <si>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</si>
  <si>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</si>
  <si>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</si>
  <si>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</si>
  <si>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</si>
  <si>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</si>
  <si>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</si>
  <si>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</si>
  <si>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</si>
  <si>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</si>
  <si>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</si>
  <si>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</si>
  <si>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</si>
  <si>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</si>
  <si>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</si>
  <si>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</si>
  <si>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</si>
  <si>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</si>
  <si>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</si>
  <si>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</si>
  <si>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</si>
  <si>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</si>
  <si>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</si>
  <si>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</si>
  <si>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</si>
  <si>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</si>
  <si>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</si>
  <si>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</si>
  <si>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</si>
  <si>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</si>
  <si>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</si>
  <si>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</si>
  <si>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</si>
  <si>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</si>
  <si>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</si>
  <si>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</si>
  <si>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</si>
  <si>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</si>
  <si>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</si>
  <si>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</si>
  <si>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</si>
  <si>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</si>
  <si>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</si>
  <si>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</si>
  <si>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</si>
  <si>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</si>
  <si>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</si>
  <si>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</si>
  <si>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</si>
  <si>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</si>
  <si>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</si>
  <si>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</si>
  <si>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</si>
  <si>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</si>
  <si>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</si>
  <si>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</si>
  <si>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</si>
  <si>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</si>
  <si>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</si>
  <si>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</si>
  <si>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</si>
  <si>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</si>
  <si>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</si>
  <si>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</si>
  <si>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</si>
  <si>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</si>
  <si>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</si>
  <si>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</si>
  <si>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</si>
  <si>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</si>
  <si>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</si>
  <si>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</si>
  <si>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</si>
  <si>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</si>
  <si>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</si>
  <si>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</si>
  <si>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</si>
  <si>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</si>
  <si>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</si>
  <si>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</si>
  <si>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</si>
  <si>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</si>
  <si>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</si>
  <si>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</si>
  <si>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</si>
  <si>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</si>
  <si>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</si>
  <si>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</si>
  <si>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</si>
  <si>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</si>
  <si>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</si>
  <si>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</si>
  <si>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</si>
  <si>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</si>
  <si>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</si>
  <si>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</si>
  <si>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</si>
  <si>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</si>
  <si>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</si>
  <si>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</si>
  <si>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</si>
  <si>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</si>
  <si>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</si>
  <si>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</si>
  <si>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</si>
  <si>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</si>
  <si>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</si>
  <si>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</si>
  <si>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</si>
  <si>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</si>
  <si>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</si>
  <si>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</si>
  <si>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</si>
  <si>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</si>
  <si>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</si>
  <si>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</si>
  <si>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</si>
  <si>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</si>
  <si>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</si>
  <si>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</si>
  <si>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</si>
  <si>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</si>
  <si>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</si>
  <si>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</si>
  <si>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</si>
  <si>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</si>
  <si>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</si>
  <si>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</si>
  <si>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</si>
  <si>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</si>
  <si>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</si>
  <si>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</si>
  <si>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</si>
  <si>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</si>
  <si>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</si>
  <si>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</si>
  <si>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</si>
  <si>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</si>
  <si>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</si>
  <si>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</si>
  <si>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</si>
  <si>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</si>
  <si>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</si>
  <si>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</si>
  <si>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</si>
  <si>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</si>
  <si>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</si>
  <si>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</si>
  <si>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</si>
  <si>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</si>
  <si>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</si>
  <si>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</si>
  <si>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</si>
  <si>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</si>
  <si>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</si>
  <si>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</si>
  <si>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</si>
  <si>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</si>
  <si>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</si>
  <si>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</si>
  <si>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</si>
  <si>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</si>
  <si>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</si>
  <si>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</si>
  <si>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</si>
  <si>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</si>
  <si>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</si>
  <si>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</si>
  <si>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</si>
  <si>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</si>
  <si>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</si>
  <si>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</si>
  <si>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</si>
  <si>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</si>
  <si>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</si>
  <si>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</si>
  <si>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</si>
  <si>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</si>
  <si>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</si>
  <si>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</si>
  <si>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</si>
  <si>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</si>
  <si>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</si>
  <si>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</si>
  <si>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</si>
  <si>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</si>
  <si>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</si>
  <si>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</si>
  <si>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</si>
  <si>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</si>
  <si>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</si>
  <si>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</si>
  <si>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</si>
  <si>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</si>
  <si>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</si>
  <si>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</si>
  <si>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</si>
  <si>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</si>
  <si>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</si>
  <si>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</si>
  <si>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</si>
  <si>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</si>
  <si>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</si>
  <si>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</si>
  <si>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</si>
  <si>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</si>
  <si>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</si>
  <si>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</si>
  <si>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</si>
  <si>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</si>
  <si>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</si>
  <si>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</si>
  <si>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</si>
  <si>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</si>
  <si>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</si>
  <si>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</si>
  <si>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</si>
  <si>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</si>
  <si>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</si>
  <si>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</si>
  <si>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</si>
  <si>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</si>
  <si>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</si>
  <si>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</si>
  <si>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</si>
  <si>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</si>
  <si>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</si>
  <si>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</si>
  <si>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</si>
  <si>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</si>
  <si>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</si>
  <si>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</si>
  <si>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</si>
  <si>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</si>
  <si>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</si>
  <si>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</si>
  <si>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</si>
  <si>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</si>
  <si>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</si>
  <si>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</si>
  <si>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</si>
  <si>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</si>
  <si>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</si>
  <si>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</si>
  <si>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</si>
  <si>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</si>
  <si>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</si>
  <si>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</si>
  <si>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</si>
  <si>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</si>
  <si>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</si>
  <si>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</si>
  <si>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</si>
  <si>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</si>
  <si>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</si>
  <si>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</si>
  <si>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</si>
  <si>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</si>
  <si>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</si>
  <si>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</si>
  <si>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</si>
  <si>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</si>
  <si>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</si>
  <si>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</si>
  <si>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</si>
  <si>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</si>
  <si>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</si>
  <si>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</si>
  <si>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</si>
  <si>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</si>
  <si>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</si>
  <si>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</si>
  <si>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</si>
  <si>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</si>
  <si>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</si>
  <si>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</si>
  <si>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</si>
  <si>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</si>
  <si>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</si>
  <si>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</si>
  <si>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</si>
  <si>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</si>
  <si>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</si>
  <si>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</si>
  <si>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</si>
  <si>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</si>
  <si>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</si>
  <si>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</si>
  <si>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</si>
  <si>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</si>
  <si>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</si>
  <si>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</si>
  <si>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</si>
  <si>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</si>
  <si>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</si>
  <si>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</si>
  <si>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</si>
  <si>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</si>
  <si>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</si>
  <si>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</si>
  <si>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</si>
  <si>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</si>
  <si>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</si>
  <si>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</si>
  <si>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</si>
  <si>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</si>
  <si>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</si>
  <si>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</si>
  <si>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</si>
  <si>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</si>
  <si>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</si>
  <si>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</si>
  <si>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</si>
  <si>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</si>
  <si>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</si>
  <si>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</si>
  <si>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</si>
  <si>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</si>
  <si>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</si>
  <si>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</si>
  <si>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</si>
  <si>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</si>
  <si>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</si>
  <si>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</si>
  <si>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</si>
  <si>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</si>
  <si>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</si>
  <si>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</si>
  <si>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</si>
  <si>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</si>
  <si>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</si>
  <si>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</si>
  <si>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</si>
  <si>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</si>
  <si>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</si>
  <si>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</si>
  <si>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</si>
  <si>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</si>
  <si>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</si>
  <si>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</si>
  <si>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</si>
  <si>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</si>
  <si>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</si>
  <si>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</si>
  <si>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</si>
  <si>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</si>
  <si>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</si>
  <si>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</si>
  <si>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</si>
  <si>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</si>
  <si>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</si>
  <si>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</si>
  <si>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</si>
  <si>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</si>
  <si>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</si>
  <si>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</si>
  <si>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</si>
  <si>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</si>
  <si>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</si>
  <si>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</si>
  <si>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</si>
  <si>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</si>
  <si>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</si>
  <si>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</si>
  <si>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</si>
  <si>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</si>
  <si>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</si>
  <si>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</si>
  <si>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</si>
  <si>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</si>
  <si>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</si>
  <si>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</si>
  <si>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</si>
  <si>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</si>
  <si>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</si>
  <si>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</si>
  <si>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</si>
  <si>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</si>
  <si>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</si>
  <si>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</si>
  <si>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</si>
  <si>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</si>
  <si>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</si>
  <si>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</si>
  <si>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</si>
  <si>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</si>
  <si>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</si>
  <si>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</si>
  <si>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</si>
  <si>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</si>
  <si>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</si>
  <si>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</si>
  <si>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</si>
  <si>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</si>
  <si>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</si>
  <si>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</si>
  <si>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</si>
  <si>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</si>
  <si>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</si>
  <si>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</si>
  <si>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</si>
  <si>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</si>
  <si>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</si>
  <si>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</si>
  <si>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</si>
  <si>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</si>
  <si>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</si>
  <si>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</si>
  <si>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</si>
  <si>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</si>
  <si>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</si>
  <si>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</si>
  <si>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</si>
  <si>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</si>
  <si>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</si>
  <si>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</si>
  <si>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</si>
  <si>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</si>
  <si>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</si>
  <si>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</si>
  <si>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</si>
  <si>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</si>
  <si>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</si>
  <si>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</si>
  <si>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</si>
  <si>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</si>
  <si>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</si>
  <si>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</si>
  <si>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</si>
  <si>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</si>
  <si>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</si>
  <si>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</si>
  <si>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</si>
  <si>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</si>
  <si>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</si>
  <si>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</si>
  <si>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</si>
  <si>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</si>
  <si>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</si>
  <si>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</si>
  <si>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</si>
  <si>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</si>
  <si>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</si>
  <si>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</si>
  <si>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</si>
  <si>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</si>
  <si>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</si>
  <si>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</si>
  <si>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</si>
  <si>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</si>
  <si>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</si>
  <si>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</si>
  <si>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</si>
  <si>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</si>
  <si>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</si>
  <si>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</si>
  <si>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</si>
  <si>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</si>
  <si>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</si>
  <si>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</si>
  <si>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</si>
  <si>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</si>
  <si>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</si>
  <si>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</si>
  <si>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</si>
  <si>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</si>
  <si>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</si>
  <si>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</si>
  <si>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</si>
  <si>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</si>
  <si>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</si>
  <si>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</si>
  <si>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</si>
  <si>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</si>
  <si>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</si>
  <si>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</si>
  <si>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</si>
  <si>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</si>
  <si>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</si>
  <si>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</si>
  <si>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</si>
  <si>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</si>
  <si>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</si>
  <si>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</si>
  <si>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</si>
  <si>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</si>
  <si>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</si>
  <si>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</si>
  <si>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</si>
  <si>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</si>
  <si>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</si>
  <si>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</si>
  <si>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</si>
  <si>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</si>
  <si>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</si>
  <si>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</si>
  <si>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</si>
  <si>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</si>
  <si>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</si>
  <si>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</si>
  <si>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</si>
  <si>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</si>
  <si>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</si>
  <si>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</si>
  <si>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</si>
  <si>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</si>
  <si>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</si>
  <si>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</si>
  <si>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</si>
  <si>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</si>
  <si>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</si>
  <si>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</si>
  <si>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</si>
  <si>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</si>
  <si>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</si>
  <si>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</si>
  <si>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</si>
  <si>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</si>
  <si>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</si>
  <si>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</si>
  <si>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</si>
  <si>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</si>
  <si>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</si>
  <si>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</si>
  <si>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</si>
  <si>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</si>
  <si>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</si>
  <si>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</si>
  <si>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</si>
  <si>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</si>
  <si>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</si>
  <si>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</si>
  <si>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</si>
  <si>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</si>
  <si>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</si>
  <si>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</si>
  <si>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</si>
  <si>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</si>
  <si>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</si>
  <si>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</si>
  <si>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</si>
  <si>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</si>
  <si>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</si>
  <si>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</si>
  <si>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</si>
  <si>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</si>
  <si>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</si>
  <si>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</si>
  <si>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</si>
  <si>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</si>
  <si>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</si>
  <si>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</si>
  <si>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</si>
  <si>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</si>
  <si>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</si>
  <si>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</si>
  <si>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</si>
  <si>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</si>
  <si>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</si>
  <si>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</si>
  <si>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</si>
  <si>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</si>
  <si>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</si>
  <si>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</si>
  <si>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</si>
  <si>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</si>
  <si>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</si>
  <si>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</si>
  <si>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</si>
  <si>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</si>
  <si>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</si>
  <si>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</si>
  <si>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</si>
  <si>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</si>
  <si>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</si>
  <si>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</si>
  <si>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</si>
  <si>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</si>
  <si>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</si>
  <si>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</si>
  <si>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</si>
  <si>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</si>
  <si>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</si>
  <si>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</si>
  <si>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</si>
  <si>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</si>
  <si>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</si>
  <si>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</si>
  <si>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</si>
  <si>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</si>
  <si>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</si>
  <si>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</si>
  <si>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</si>
  <si>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</si>
  <si>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</si>
  <si>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</si>
  <si>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</si>
  <si>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</si>
  <si>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</si>
  <si>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</si>
  <si>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</si>
  <si>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</si>
  <si>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</si>
  <si>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</si>
  <si>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</si>
  <si>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</si>
  <si>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</si>
  <si>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</si>
  <si>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</si>
  <si>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</si>
  <si>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</si>
  <si>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</si>
  <si>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</si>
  <si>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</si>
  <si>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</si>
  <si>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</si>
  <si>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</si>
  <si>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</si>
  <si>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</si>
  <si>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</si>
  <si>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</si>
  <si>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</si>
  <si>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</si>
  <si>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</si>
  <si>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</si>
  <si>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</si>
  <si>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</si>
  <si>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</si>
  <si>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</si>
  <si>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</si>
  <si>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</si>
  <si>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</si>
  <si>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</si>
  <si>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</si>
  <si>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</si>
  <si>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</si>
  <si>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</si>
  <si>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</si>
  <si>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</si>
  <si>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</si>
  <si>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</si>
  <si>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</si>
  <si>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</si>
  <si>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</si>
  <si>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</si>
  <si>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</si>
  <si>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</si>
  <si>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</si>
  <si>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</si>
  <si>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</si>
  <si>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</si>
  <si>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</si>
  <si>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</si>
  <si>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</si>
  <si>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</si>
  <si>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</si>
  <si>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</si>
  <si>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</si>
  <si>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</si>
  <si>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</si>
  <si>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</si>
  <si>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</si>
  <si>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</si>
  <si>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</si>
  <si>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</si>
  <si>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</si>
  <si>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</si>
  <si>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</si>
  <si>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</si>
  <si>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</si>
  <si>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</si>
  <si>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</si>
  <si>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</si>
  <si>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</si>
  <si>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</si>
  <si>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</si>
  <si>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</si>
  <si>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</si>
  <si>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</si>
  <si>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</si>
  <si>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</si>
  <si>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</si>
  <si>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</si>
  <si>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</si>
  <si>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</si>
  <si>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</si>
  <si>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</si>
  <si>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</si>
  <si>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</si>
  <si>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</si>
  <si>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</si>
  <si>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</si>
  <si>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</si>
  <si>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</si>
  <si>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</si>
  <si>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</si>
  <si>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</si>
  <si>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</si>
  <si>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</si>
  <si>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</si>
  <si>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</si>
  <si>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</si>
  <si>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</si>
  <si>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</si>
  <si>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</si>
  <si>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</si>
  <si>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</si>
  <si>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</si>
  <si>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</si>
  <si>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</si>
  <si>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</si>
  <si>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</si>
  <si>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</si>
  <si>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</si>
  <si>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</si>
  <si>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</si>
  <si>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</si>
  <si>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</si>
  <si>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</si>
  <si>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</si>
  <si>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</si>
  <si>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</si>
  <si>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</si>
  <si>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</si>
  <si>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</si>
  <si>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</si>
  <si>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</si>
  <si>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</si>
  <si>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</si>
  <si>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</si>
  <si>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</si>
  <si>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</si>
  <si>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</si>
  <si>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</si>
  <si>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</si>
  <si>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</si>
  <si>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</si>
  <si>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</si>
  <si>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</si>
  <si>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</si>
  <si>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</si>
  <si>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</si>
  <si>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</si>
  <si>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</si>
  <si>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</si>
  <si>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</si>
  <si>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</si>
  <si>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</si>
  <si>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</si>
  <si>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</si>
  <si>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</si>
  <si>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</si>
  <si>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</si>
  <si>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</si>
  <si>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</si>
  <si>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</si>
  <si>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</si>
  <si>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</si>
  <si>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</si>
  <si>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</si>
  <si>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</si>
  <si>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</si>
  <si>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</si>
  <si>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</si>
  <si>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</si>
  <si>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</si>
  <si>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</si>
  <si>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</si>
  <si>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</si>
  <si>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</si>
  <si>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</si>
  <si>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</si>
  <si>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</si>
  <si>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</si>
  <si>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</si>
  <si>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</si>
  <si>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</si>
  <si>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</si>
  <si>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</si>
  <si>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</si>
  <si>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</si>
  <si>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</si>
  <si>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</si>
  <si>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</si>
  <si>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</si>
  <si>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</si>
  <si>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</si>
  <si>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</si>
  <si>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</si>
  <si>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</si>
  <si>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</si>
  <si>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</si>
  <si>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</si>
  <si>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</si>
  <si>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</si>
  <si>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</si>
  <si>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</si>
  <si>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</si>
  <si>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</si>
  <si>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</si>
  <si>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</si>
  <si>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</si>
  <si>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</si>
  <si>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</si>
  <si>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</si>
  <si>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</si>
  <si>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</si>
  <si>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</si>
  <si>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</si>
  <si>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</si>
  <si>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</si>
  <si>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</si>
  <si>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</si>
  <si>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</si>
  <si>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</si>
  <si>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</si>
  <si>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</si>
  <si>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</si>
  <si>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</si>
  <si>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</si>
  <si>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</si>
  <si>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</si>
  <si>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</si>
  <si>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</si>
  <si>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</si>
  <si>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</si>
  <si>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</si>
  <si>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</si>
  <si>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</si>
  <si>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</si>
  <si>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</si>
  <si>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</si>
  <si>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</si>
  <si>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</si>
  <si>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</si>
  <si>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</si>
  <si>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</si>
  <si>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</si>
  <si>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</si>
  <si>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</si>
  <si>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</si>
  <si>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</si>
  <si>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</si>
  <si>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</si>
  <si>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</si>
  <si>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</si>
  <si>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</si>
  <si>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</si>
  <si>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</si>
  <si>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</si>
  <si>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</si>
  <si>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</si>
  <si>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</si>
  <si>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</si>
  <si>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</si>
  <si>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</si>
  <si>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</si>
  <si>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</si>
  <si>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</si>
  <si>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</si>
  <si>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</si>
  <si>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</si>
  <si>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</si>
  <si>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</si>
  <si>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</si>
  <si>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</si>
  <si>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</si>
  <si>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</si>
  <si>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</si>
  <si>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</si>
  <si>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</si>
  <si>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</si>
  <si>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</si>
  <si>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</si>
  <si>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</si>
  <si>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</si>
  <si>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</si>
  <si>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</si>
  <si>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</si>
  <si>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</si>
  <si>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</si>
  <si>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</si>
  <si>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</si>
  <si>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</si>
  <si>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</si>
  <si>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</si>
  <si>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</si>
  <si>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</si>
  <si>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</si>
  <si>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</si>
  <si>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</si>
  <si>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</si>
  <si>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</si>
  <si>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</si>
  <si>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</si>
  <si>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</si>
  <si>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</si>
  <si>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</si>
  <si>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</si>
  <si>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</si>
  <si>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</si>
  <si>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</si>
  <si>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</si>
  <si>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</si>
  <si>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</si>
  <si>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</si>
  <si>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</si>
  <si>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</si>
  <si>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</si>
  <si>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</si>
  <si>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</si>
  <si>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</si>
  <si>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</si>
  <si>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</si>
  <si>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</si>
  <si>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</si>
  <si>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</si>
  <si>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</si>
  <si>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</si>
  <si>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</si>
  <si>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</si>
  <si>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</si>
  <si>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</si>
  <si>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</si>
  <si>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</si>
  <si>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</si>
  <si>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</si>
  <si>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</si>
  <si>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</si>
  <si>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</si>
  <si>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</si>
  <si>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</si>
  <si>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</si>
  <si>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</si>
  <si>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</si>
  <si>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</si>
  <si>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</si>
  <si>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</si>
  <si>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</si>
  <si>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</si>
  <si>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</si>
  <si>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</si>
  <si>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</si>
  <si>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</si>
  <si>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</si>
  <si>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</si>
  <si>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</si>
  <si>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</si>
  <si>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</si>
  <si>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</si>
  <si>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</si>
  <si>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</si>
  <si>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</si>
  <si>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</si>
  <si>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</si>
  <si>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</si>
  <si>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</si>
  <si>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</si>
  <si>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</si>
  <si>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</si>
  <si>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</si>
  <si>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</si>
  <si>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</si>
  <si>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</si>
  <si>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</si>
  <si>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</si>
  <si>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</si>
  <si>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</si>
  <si>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</si>
  <si>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</si>
  <si>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</si>
  <si>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</si>
  <si>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</si>
  <si>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</si>
  <si>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</si>
  <si>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</si>
  <si>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</si>
  <si>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</si>
  <si>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</si>
  <si>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</si>
  <si>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</si>
  <si>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</si>
  <si>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</si>
  <si>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</si>
  <si>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</si>
  <si>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</si>
  <si>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</si>
  <si>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</si>
  <si>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</si>
  <si>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</si>
  <si>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</si>
  <si>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</si>
  <si>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</si>
  <si>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</si>
  <si>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</si>
  <si>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</si>
  <si>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</si>
  <si>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</si>
  <si>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</si>
  <si>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</si>
  <si>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</si>
  <si>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</si>
  <si>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</si>
  <si>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</si>
  <si>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</si>
  <si>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</si>
  <si>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</si>
  <si>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</si>
  <si>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</si>
  <si>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</si>
  <si>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</si>
  <si>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</si>
  <si>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</si>
  <si>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</si>
  <si>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</si>
  <si>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</si>
  <si>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</si>
  <si>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</si>
  <si>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</si>
  <si>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</si>
  <si>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</si>
  <si>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</si>
  <si>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</si>
  <si>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</si>
  <si>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</si>
  <si>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</si>
  <si>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</si>
  <si>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</si>
  <si>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</si>
  <si>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</si>
  <si>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</si>
  <si>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</si>
  <si>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</si>
  <si>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</si>
  <si>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</si>
  <si>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</si>
  <si>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</si>
  <si>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</si>
  <si>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</si>
  <si>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</si>
  <si>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</si>
  <si>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</si>
  <si>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</si>
  <si>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</si>
  <si>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</si>
  <si>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</si>
  <si>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</si>
  <si>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</si>
  <si>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</si>
  <si>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</si>
  <si>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</si>
  <si>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</si>
  <si>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</si>
  <si>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</si>
  <si>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</si>
  <si>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</si>
  <si>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</si>
  <si>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</si>
  <si>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</si>
  <si>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</si>
  <si>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</si>
  <si>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</si>
  <si>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</si>
  <si>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</si>
  <si>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</si>
  <si>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</si>
  <si>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</si>
  <si>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</si>
  <si>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</si>
  <si>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</si>
  <si>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</si>
  <si>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</si>
  <si>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</si>
  <si>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</si>
  <si>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</si>
  <si>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</si>
  <si>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</si>
  <si>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</si>
  <si>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</si>
  <si>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</si>
  <si>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</si>
  <si>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</si>
  <si>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</si>
  <si>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</si>
  <si>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</si>
  <si>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</si>
  <si>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</si>
  <si>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</si>
  <si>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</si>
  <si>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</si>
  <si>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</si>
  <si>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</si>
  <si>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</si>
  <si>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</si>
  <si>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</si>
  <si>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</si>
  <si>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</si>
  <si>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</si>
  <si>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</si>
  <si>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</si>
  <si>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</si>
  <si>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</si>
  <si>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</si>
  <si>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</si>
  <si>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</si>
  <si>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</si>
  <si>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</si>
  <si>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</si>
  <si>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</si>
  <si>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</si>
  <si>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</si>
  <si>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</si>
  <si>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</si>
  <si>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</si>
  <si>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</si>
  <si>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</si>
  <si>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</si>
  <si>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</si>
  <si>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</si>
  <si>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</si>
  <si>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</si>
  <si>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</si>
  <si>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</si>
  <si>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</si>
  <si>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</si>
  <si>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</si>
  <si>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</si>
  <si>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</si>
  <si>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</si>
  <si>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</si>
  <si>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</si>
  <si>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</si>
  <si>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</si>
  <si>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</si>
  <si>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</si>
  <si>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</si>
  <si>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</si>
  <si>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</si>
  <si>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</si>
  <si>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</si>
  <si>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</si>
  <si>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</si>
  <si>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</si>
  <si>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</si>
  <si>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</si>
  <si>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</si>
  <si>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</si>
  <si>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</si>
  <si>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</si>
  <si>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</si>
  <si>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</si>
  <si>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</si>
  <si>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</si>
  <si>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</si>
  <si>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</si>
  <si>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</si>
  <si>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</si>
  <si>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</si>
  <si>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</si>
  <si>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</si>
  <si>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</si>
  <si>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</si>
  <si>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</si>
  <si>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</si>
  <si>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</si>
  <si>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</si>
  <si>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</si>
  <si>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</si>
  <si>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</si>
  <si>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</si>
  <si>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</si>
  <si>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</si>
  <si>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</si>
  <si>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</si>
  <si>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</si>
  <si>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</si>
  <si>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</si>
  <si>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</si>
  <si>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</si>
  <si>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</si>
  <si>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</si>
  <si>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</si>
  <si>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</si>
  <si>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</si>
  <si>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</si>
  <si>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</si>
  <si>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</si>
  <si>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</si>
  <si>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</si>
  <si>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</si>
  <si>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</si>
  <si>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</si>
  <si>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</si>
  <si>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</si>
  <si>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</si>
  <si>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</si>
  <si>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</si>
  <si>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</si>
  <si>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</si>
  <si>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</si>
  <si>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</si>
  <si>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</si>
  <si>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</si>
  <si>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</si>
  <si>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</si>
  <si>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</si>
  <si>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</si>
  <si>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</si>
  <si>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</si>
  <si>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</si>
  <si>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</si>
  <si>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</si>
  <si>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</si>
  <si>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</si>
  <si>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</si>
  <si>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</si>
  <si>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</si>
  <si>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</si>
  <si>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</si>
  <si>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</si>
  <si>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</si>
  <si>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</si>
  <si>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</si>
  <si>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</si>
  <si>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</si>
  <si>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</si>
  <si>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</si>
  <si>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</si>
  <si>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</si>
  <si>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</si>
  <si>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</si>
  <si>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</si>
  <si>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</si>
  <si>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</si>
  <si>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</si>
  <si>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</si>
  <si>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</si>
  <si>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</si>
  <si>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</si>
  <si>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</si>
  <si>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</si>
  <si>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</si>
  <si>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</si>
  <si>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</si>
  <si>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</si>
  <si>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</si>
  <si>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</si>
  <si>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</si>
  <si>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</si>
  <si>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</si>
  <si>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</si>
  <si>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</si>
  <si>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</si>
  <si>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</si>
  <si>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</si>
  <si>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</si>
  <si>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</si>
  <si>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</si>
  <si>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Y bar</t>
  </si>
  <si>
    <t>X bar</t>
  </si>
  <si>
    <t>(Yi - Y bar)</t>
  </si>
  <si>
    <t>(Xi - X bar)</t>
  </si>
  <si>
    <t>(Xi - X bar)^2</t>
  </si>
  <si>
    <t>(Yi - Y bar) (Xi - X bar)</t>
  </si>
  <si>
    <t>Sigma (Yi - Y bar) (Xi - X bar)</t>
  </si>
  <si>
    <t>Sigma (Xi - X bar)</t>
  </si>
  <si>
    <t>Sigma (Xi - X bar)^2</t>
  </si>
  <si>
    <t>Sigma (Yi - Y bar)</t>
  </si>
  <si>
    <t>Beta 1 =</t>
  </si>
  <si>
    <t>Beta 0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</si>
</sst>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6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rgb="FF9FC5E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5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8" xfId="0" applyBorder="1"/>
    <xf numFmtId="0" fontId="7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Continuous"/>
    </xf>
    <xf numFmtId="0" fontId="0" fillId="0" borderId="0" xfId="0" applyAlignment="1">
      <alignment horizontal="center"/>
    </xf>
    <xf numFmtId="0" fontId="8" fillId="7" borderId="0" xfId="0" applyFont="1" applyFill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8" fillId="11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9" borderId="10" xfId="0" applyFont="1" applyFill="1" applyBorder="1" applyAlignment="1">
      <alignment horizontal="center"/>
    </xf>
    <xf numFmtId="0" fontId="8" fillId="10" borderId="10" xfId="0" applyFont="1" applyFill="1" applyBorder="1" applyAlignment="1">
      <alignment horizontal="center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90B8-01E0-44AA-9414-67D551DE918C}">
  <dimension ref="A1:Z126"/>
  <sheetViews>
    <sheetView tabSelected="1" topLeftCell="B97" zoomScale="58" workbookViewId="0">
      <selection activeCell="I126" sqref="I126"/>
    </sheetView>
  </sheetViews>
  <sheetFormatPr defaultRowHeight="12.5" x14ac:dyDescent="0.25"/>
  <cols>
    <col min="1" max="1" width="24.26953125" customWidth="1"/>
    <col min="2" max="2" width="31" style="22" customWidth="1"/>
    <col min="3" max="3" width="28.36328125" style="22" customWidth="1"/>
    <col min="7" max="7" width="30.36328125" customWidth="1"/>
    <col min="8" max="8" width="17.453125" style="22" customWidth="1"/>
    <col min="9" max="9" width="18.1796875" style="22" customWidth="1"/>
    <col min="11" max="11" width="25" customWidth="1"/>
    <col min="12" max="12" width="8.81640625" style="22" bestFit="1" customWidth="1"/>
    <col min="13" max="13" width="18.08984375" style="22" customWidth="1"/>
    <col min="14" max="14" width="20.90625" style="22" customWidth="1"/>
    <col min="15" max="15" width="29.26953125" style="22" customWidth="1"/>
    <col min="16" max="16" width="12.6328125" bestFit="1" customWidth="1"/>
    <col min="19" max="21" width="8.81640625" bestFit="1" customWidth="1"/>
    <col min="22" max="23" width="12.08984375" bestFit="1" customWidth="1"/>
    <col min="24" max="26" width="8.81640625" bestFit="1" customWidth="1"/>
  </cols>
  <sheetData>
    <row r="1" spans="1:23" ht="13" x14ac:dyDescent="0.3">
      <c r="A1" s="17" t="s">
        <v>1</v>
      </c>
      <c r="B1" s="16" t="s">
        <v>2</v>
      </c>
      <c r="C1" s="18" t="s">
        <v>3</v>
      </c>
      <c r="G1" s="24" t="s">
        <v>2</v>
      </c>
      <c r="H1" s="25" t="s">
        <v>1729</v>
      </c>
      <c r="I1" s="26" t="s">
        <v>1731</v>
      </c>
      <c r="K1" s="43" t="s">
        <v>3</v>
      </c>
      <c r="L1" s="44" t="s">
        <v>1730</v>
      </c>
      <c r="M1" s="44" t="s">
        <v>1732</v>
      </c>
      <c r="N1" s="44" t="s">
        <v>1733</v>
      </c>
      <c r="O1" s="44" t="s">
        <v>1734</v>
      </c>
    </row>
    <row r="2" spans="1:23" x14ac:dyDescent="0.25">
      <c r="A2" s="6" t="s">
        <v>588</v>
      </c>
      <c r="B2" s="6">
        <v>76.69</v>
      </c>
      <c r="C2" s="6">
        <v>9.26</v>
      </c>
      <c r="G2" s="41">
        <v>76.69</v>
      </c>
      <c r="H2" s="42">
        <v>75.746134453781593</v>
      </c>
      <c r="I2" s="42">
        <f>G2-H2</f>
        <v>0.94386554621840446</v>
      </c>
      <c r="K2" s="41">
        <v>9.26</v>
      </c>
      <c r="L2" s="42">
        <v>8.8323529411764667</v>
      </c>
      <c r="M2" s="42">
        <f>K2-L2</f>
        <v>0.42764705882353304</v>
      </c>
      <c r="N2" s="42">
        <f>M2^2</f>
        <v>0.18288200692041834</v>
      </c>
      <c r="O2" s="42">
        <f>I2*M2</f>
        <v>0.40364132476516817</v>
      </c>
    </row>
    <row r="3" spans="1:23" x14ac:dyDescent="0.25">
      <c r="A3" s="6" t="s">
        <v>591</v>
      </c>
      <c r="B3" s="6">
        <v>87.57</v>
      </c>
      <c r="C3" s="6">
        <v>11.95</v>
      </c>
      <c r="G3" s="41">
        <v>87.57</v>
      </c>
      <c r="H3" s="42">
        <v>75.746134453781551</v>
      </c>
      <c r="I3" s="42">
        <f t="shared" ref="I3:I66" si="0">G3-H3</f>
        <v>11.823865546218443</v>
      </c>
      <c r="K3" s="41">
        <v>11.95</v>
      </c>
      <c r="L3" s="42">
        <v>8.8323529411764667</v>
      </c>
      <c r="M3" s="42">
        <f t="shared" ref="M3:M66" si="1">K3-L3</f>
        <v>3.1176470588235325</v>
      </c>
      <c r="N3" s="42">
        <f t="shared" ref="N3:N66" si="2">M3^2</f>
        <v>9.7197231833910234</v>
      </c>
      <c r="O3" s="42">
        <f t="shared" ref="O3:O66" si="3">I3*M3</f>
        <v>36.86263964409283</v>
      </c>
    </row>
    <row r="4" spans="1:23" x14ac:dyDescent="0.25">
      <c r="A4" s="6" t="s">
        <v>594</v>
      </c>
      <c r="B4" s="6">
        <v>84.76</v>
      </c>
      <c r="C4" s="6">
        <v>11.99</v>
      </c>
      <c r="G4" s="41">
        <v>84.76</v>
      </c>
      <c r="H4" s="42">
        <v>75.746134453781551</v>
      </c>
      <c r="I4" s="42">
        <f t="shared" si="0"/>
        <v>9.0138655462184545</v>
      </c>
      <c r="K4" s="41">
        <v>11.99</v>
      </c>
      <c r="L4" s="42">
        <v>8.8323529411764667</v>
      </c>
      <c r="M4" s="42">
        <f t="shared" si="1"/>
        <v>3.1576470588235335</v>
      </c>
      <c r="N4" s="42">
        <f t="shared" si="2"/>
        <v>9.9707349480969114</v>
      </c>
      <c r="O4" s="42">
        <f t="shared" si="3"/>
        <v>28.462606030647486</v>
      </c>
      <c r="R4" t="s">
        <v>1705</v>
      </c>
    </row>
    <row r="5" spans="1:23" ht="13" thickBot="1" x14ac:dyDescent="0.3">
      <c r="A5" s="6" t="s">
        <v>598</v>
      </c>
      <c r="B5" s="6">
        <v>83.75</v>
      </c>
      <c r="C5" s="6">
        <v>11.61</v>
      </c>
      <c r="G5" s="41">
        <v>83.75</v>
      </c>
      <c r="H5" s="42">
        <v>75.746134453781551</v>
      </c>
      <c r="I5" s="42">
        <f t="shared" si="0"/>
        <v>8.0038655462184494</v>
      </c>
      <c r="K5" s="41">
        <v>11.61</v>
      </c>
      <c r="L5" s="42">
        <v>8.8323529411764667</v>
      </c>
      <c r="M5" s="42">
        <f t="shared" si="1"/>
        <v>2.7776470588235327</v>
      </c>
      <c r="N5" s="42">
        <f t="shared" si="2"/>
        <v>7.7153231833910221</v>
      </c>
      <c r="O5" s="42">
        <f t="shared" si="3"/>
        <v>22.231913593672683</v>
      </c>
    </row>
    <row r="6" spans="1:23" ht="13" x14ac:dyDescent="0.3">
      <c r="A6" s="6" t="s">
        <v>602</v>
      </c>
      <c r="B6" s="6">
        <v>84.4</v>
      </c>
      <c r="C6" s="6">
        <v>11.24</v>
      </c>
      <c r="G6" s="41">
        <v>84.4</v>
      </c>
      <c r="H6" s="42">
        <v>75.746134453781551</v>
      </c>
      <c r="I6" s="42">
        <f t="shared" si="0"/>
        <v>8.6538655462184551</v>
      </c>
      <c r="K6" s="41">
        <v>11.24</v>
      </c>
      <c r="L6" s="42">
        <v>8.8323529411764667</v>
      </c>
      <c r="M6" s="42">
        <f t="shared" si="1"/>
        <v>2.4076470588235335</v>
      </c>
      <c r="N6" s="42">
        <f t="shared" si="2"/>
        <v>5.7967643598616112</v>
      </c>
      <c r="O6" s="42">
        <f t="shared" si="3"/>
        <v>20.835453929807173</v>
      </c>
      <c r="R6" s="21" t="s">
        <v>1706</v>
      </c>
      <c r="S6" s="21"/>
    </row>
    <row r="7" spans="1:23" x14ac:dyDescent="0.25">
      <c r="A7" s="6" t="s">
        <v>606</v>
      </c>
      <c r="B7" s="6">
        <v>82.13</v>
      </c>
      <c r="C7" s="6">
        <v>10.85</v>
      </c>
      <c r="G7" s="41">
        <v>82.13</v>
      </c>
      <c r="H7" s="42">
        <v>75.746134453781551</v>
      </c>
      <c r="I7" s="42">
        <f t="shared" si="0"/>
        <v>6.3838655462184448</v>
      </c>
      <c r="K7" s="41">
        <v>10.85</v>
      </c>
      <c r="L7" s="42">
        <v>8.8323529411764667</v>
      </c>
      <c r="M7" s="42">
        <f t="shared" si="1"/>
        <v>2.0176470588235329</v>
      </c>
      <c r="N7" s="42">
        <f t="shared" si="2"/>
        <v>4.0708996539792528</v>
      </c>
      <c r="O7" s="42">
        <f t="shared" si="3"/>
        <v>12.880387543252532</v>
      </c>
      <c r="R7" t="s">
        <v>1707</v>
      </c>
      <c r="S7">
        <v>0.9425620088621538</v>
      </c>
    </row>
    <row r="8" spans="1:23" x14ac:dyDescent="0.25">
      <c r="A8" s="6" t="s">
        <v>611</v>
      </c>
      <c r="B8" s="6">
        <v>73.63</v>
      </c>
      <c r="C8" s="6">
        <v>8.89</v>
      </c>
      <c r="G8" s="41">
        <v>73.63</v>
      </c>
      <c r="H8" s="42">
        <v>75.746134453781551</v>
      </c>
      <c r="I8" s="42">
        <f t="shared" si="0"/>
        <v>-2.1161344537815552</v>
      </c>
      <c r="K8" s="41">
        <v>8.89</v>
      </c>
      <c r="L8" s="42">
        <v>8.8323529411764667</v>
      </c>
      <c r="M8" s="42">
        <f t="shared" si="1"/>
        <v>5.7647058823533825E-2</v>
      </c>
      <c r="N8" s="42">
        <f t="shared" si="2"/>
        <v>3.3231833910039692E-3</v>
      </c>
      <c r="O8" s="42">
        <f t="shared" si="3"/>
        <v>-0.12198892733565193</v>
      </c>
      <c r="R8" t="s">
        <v>1708</v>
      </c>
      <c r="S8">
        <v>0.88842314055025895</v>
      </c>
      <c r="T8">
        <v>88.84</v>
      </c>
    </row>
    <row r="9" spans="1:23" x14ac:dyDescent="0.25">
      <c r="A9" s="6" t="s">
        <v>615</v>
      </c>
      <c r="B9" s="6">
        <v>70.180000000000007</v>
      </c>
      <c r="C9" s="6">
        <v>7.75</v>
      </c>
      <c r="G9" s="41">
        <v>70.180000000000007</v>
      </c>
      <c r="H9" s="42">
        <v>75.746134453781551</v>
      </c>
      <c r="I9" s="42">
        <f t="shared" si="0"/>
        <v>-5.5661344537815438</v>
      </c>
      <c r="K9" s="41">
        <v>7.75</v>
      </c>
      <c r="L9" s="42">
        <v>8.8323529411764667</v>
      </c>
      <c r="M9" s="42">
        <f t="shared" si="1"/>
        <v>-1.0823529411764667</v>
      </c>
      <c r="N9" s="42">
        <f t="shared" si="2"/>
        <v>1.171487889273348</v>
      </c>
      <c r="O9" s="42">
        <f t="shared" si="3"/>
        <v>6.0245219970341202</v>
      </c>
      <c r="R9" t="s">
        <v>1709</v>
      </c>
      <c r="S9">
        <v>0.88746949217889359</v>
      </c>
    </row>
    <row r="10" spans="1:23" x14ac:dyDescent="0.25">
      <c r="A10" s="6" t="s">
        <v>619</v>
      </c>
      <c r="B10" s="6">
        <v>68.89</v>
      </c>
      <c r="C10" s="6">
        <v>7.91</v>
      </c>
      <c r="G10" s="41">
        <v>68.89</v>
      </c>
      <c r="H10" s="42">
        <v>75.746134453781551</v>
      </c>
      <c r="I10" s="42">
        <f t="shared" si="0"/>
        <v>-6.8561344537815501</v>
      </c>
      <c r="K10" s="41">
        <v>7.91</v>
      </c>
      <c r="L10" s="42">
        <v>8.8323529411764667</v>
      </c>
      <c r="M10" s="42">
        <f t="shared" si="1"/>
        <v>-0.9223529411764666</v>
      </c>
      <c r="N10" s="42">
        <f t="shared" si="2"/>
        <v>0.85073494809687844</v>
      </c>
      <c r="O10" s="42">
        <f t="shared" si="3"/>
        <v>6.3237757785467199</v>
      </c>
      <c r="R10" t="s">
        <v>1710</v>
      </c>
      <c r="S10">
        <v>1.6828470103751438</v>
      </c>
    </row>
    <row r="11" spans="1:23" ht="13" thickBot="1" x14ac:dyDescent="0.3">
      <c r="A11" s="6" t="s">
        <v>621</v>
      </c>
      <c r="B11" s="6">
        <v>74.59</v>
      </c>
      <c r="C11" s="6">
        <v>9.4499999999999993</v>
      </c>
      <c r="G11" s="41">
        <v>74.59</v>
      </c>
      <c r="H11" s="42">
        <v>75.746134453781551</v>
      </c>
      <c r="I11" s="42">
        <f t="shared" si="0"/>
        <v>-1.1561344537815472</v>
      </c>
      <c r="K11" s="41">
        <v>9.4499999999999993</v>
      </c>
      <c r="L11" s="42">
        <v>8.8323529411764667</v>
      </c>
      <c r="M11" s="42">
        <f t="shared" si="1"/>
        <v>0.61764705882353255</v>
      </c>
      <c r="N11" s="42">
        <f t="shared" si="2"/>
        <v>0.38148788927336025</v>
      </c>
      <c r="O11" s="42">
        <f t="shared" si="3"/>
        <v>-0.71408304498272401</v>
      </c>
      <c r="R11" s="19" t="s">
        <v>1711</v>
      </c>
      <c r="S11" s="19">
        <v>119</v>
      </c>
    </row>
    <row r="12" spans="1:23" x14ac:dyDescent="0.25">
      <c r="A12" s="6" t="s">
        <v>625</v>
      </c>
      <c r="B12" s="6">
        <v>69.91</v>
      </c>
      <c r="C12" s="6">
        <v>8.31</v>
      </c>
      <c r="G12" s="41">
        <v>69.91</v>
      </c>
      <c r="H12" s="42">
        <v>75.746134453781551</v>
      </c>
      <c r="I12" s="42">
        <f t="shared" si="0"/>
        <v>-5.836134453781554</v>
      </c>
      <c r="K12" s="41">
        <v>8.31</v>
      </c>
      <c r="L12" s="42">
        <v>8.8323529411764667</v>
      </c>
      <c r="M12" s="42">
        <f t="shared" si="1"/>
        <v>-0.52235294117646625</v>
      </c>
      <c r="N12" s="42">
        <f t="shared" si="2"/>
        <v>0.27285259515570481</v>
      </c>
      <c r="O12" s="42">
        <f t="shared" si="3"/>
        <v>3.0485219970341042</v>
      </c>
    </row>
    <row r="13" spans="1:23" ht="13" thickBot="1" x14ac:dyDescent="0.3">
      <c r="A13" s="6" t="s">
        <v>629</v>
      </c>
      <c r="B13" s="6">
        <v>69.98</v>
      </c>
      <c r="C13" s="6">
        <v>8.32</v>
      </c>
      <c r="G13" s="41">
        <v>69.98</v>
      </c>
      <c r="H13" s="42">
        <v>75.746134453781551</v>
      </c>
      <c r="I13" s="42">
        <f t="shared" si="0"/>
        <v>-5.7661344537815467</v>
      </c>
      <c r="K13" s="41">
        <v>8.32</v>
      </c>
      <c r="L13" s="42">
        <v>8.8323529411764667</v>
      </c>
      <c r="M13" s="42">
        <f t="shared" si="1"/>
        <v>-0.51235294117646646</v>
      </c>
      <c r="N13" s="42">
        <f t="shared" si="2"/>
        <v>0.26250553633217572</v>
      </c>
      <c r="O13" s="42">
        <f t="shared" si="3"/>
        <v>2.9542959466139331</v>
      </c>
      <c r="R13" t="s">
        <v>1712</v>
      </c>
    </row>
    <row r="14" spans="1:23" ht="13" x14ac:dyDescent="0.3">
      <c r="A14" s="6" t="s">
        <v>631</v>
      </c>
      <c r="B14" s="6">
        <v>73.64</v>
      </c>
      <c r="C14" s="6">
        <v>8.33</v>
      </c>
      <c r="G14" s="41">
        <v>73.64</v>
      </c>
      <c r="H14" s="42">
        <v>75.746134453781551</v>
      </c>
      <c r="I14" s="42">
        <f t="shared" si="0"/>
        <v>-2.1061344537815501</v>
      </c>
      <c r="K14" s="41">
        <v>8.33</v>
      </c>
      <c r="L14" s="42">
        <v>8.8323529411764667</v>
      </c>
      <c r="M14" s="42">
        <f t="shared" si="1"/>
        <v>-0.50235294117646667</v>
      </c>
      <c r="N14" s="42">
        <f t="shared" si="2"/>
        <v>0.25235847750864659</v>
      </c>
      <c r="O14" s="42">
        <f t="shared" si="3"/>
        <v>1.0580228373702527</v>
      </c>
      <c r="R14" s="20"/>
      <c r="S14" s="20" t="s">
        <v>1717</v>
      </c>
      <c r="T14" s="20" t="s">
        <v>1718</v>
      </c>
      <c r="U14" s="20" t="s">
        <v>1719</v>
      </c>
      <c r="V14" s="20" t="s">
        <v>1720</v>
      </c>
      <c r="W14" s="20" t="s">
        <v>1721</v>
      </c>
    </row>
    <row r="15" spans="1:23" x14ac:dyDescent="0.25">
      <c r="A15" s="6" t="s">
        <v>634</v>
      </c>
      <c r="B15" s="6">
        <v>71.56</v>
      </c>
      <c r="C15" s="6">
        <v>8.18</v>
      </c>
      <c r="G15" s="41">
        <v>71.56</v>
      </c>
      <c r="H15" s="42">
        <v>75.746134453781551</v>
      </c>
      <c r="I15" s="42">
        <f t="shared" si="0"/>
        <v>-4.1861344537815484</v>
      </c>
      <c r="K15" s="41">
        <v>8.18</v>
      </c>
      <c r="L15" s="42">
        <v>8.8323529411764667</v>
      </c>
      <c r="M15" s="42">
        <f t="shared" si="1"/>
        <v>-0.65235294117646703</v>
      </c>
      <c r="N15" s="42">
        <f t="shared" si="2"/>
        <v>0.42556435986158703</v>
      </c>
      <c r="O15" s="42">
        <f t="shared" si="3"/>
        <v>2.7308371230845365</v>
      </c>
      <c r="R15" t="s">
        <v>1713</v>
      </c>
      <c r="S15">
        <v>1</v>
      </c>
      <c r="T15">
        <v>2638.2798567902978</v>
      </c>
      <c r="U15">
        <v>2638.2798567902978</v>
      </c>
      <c r="V15">
        <v>931.60452765030288</v>
      </c>
      <c r="W15">
        <v>1.4970587958122169E-57</v>
      </c>
    </row>
    <row r="16" spans="1:23" x14ac:dyDescent="0.25">
      <c r="A16" s="6" t="s">
        <v>637</v>
      </c>
      <c r="B16" s="6">
        <v>72.3</v>
      </c>
      <c r="C16" s="6">
        <v>8.06</v>
      </c>
      <c r="G16" s="41">
        <v>72.3</v>
      </c>
      <c r="H16" s="42">
        <v>75.746134453781551</v>
      </c>
      <c r="I16" s="42">
        <f t="shared" si="0"/>
        <v>-3.4461344537815535</v>
      </c>
      <c r="K16" s="41">
        <v>8.06</v>
      </c>
      <c r="L16" s="42">
        <v>8.8323529411764667</v>
      </c>
      <c r="M16" s="42">
        <f t="shared" si="1"/>
        <v>-0.77235294117646625</v>
      </c>
      <c r="N16" s="42">
        <f t="shared" si="2"/>
        <v>0.59652906574393794</v>
      </c>
      <c r="O16" s="42">
        <f t="shared" si="3"/>
        <v>2.6616320810677379</v>
      </c>
      <c r="R16" t="s">
        <v>1714</v>
      </c>
      <c r="S16">
        <v>117</v>
      </c>
      <c r="T16">
        <v>331.34096505844144</v>
      </c>
      <c r="U16">
        <v>2.8319740603285593</v>
      </c>
    </row>
    <row r="17" spans="1:26" ht="13" thickBot="1" x14ac:dyDescent="0.3">
      <c r="A17" s="6" t="s">
        <v>641</v>
      </c>
      <c r="B17" s="6">
        <v>71.37</v>
      </c>
      <c r="C17" s="6">
        <v>7.99</v>
      </c>
      <c r="G17" s="41">
        <v>71.37</v>
      </c>
      <c r="H17" s="42">
        <v>75.746134453781551</v>
      </c>
      <c r="I17" s="42">
        <f t="shared" si="0"/>
        <v>-4.3761344537815461</v>
      </c>
      <c r="K17" s="41">
        <v>7.99</v>
      </c>
      <c r="L17" s="42">
        <v>8.8323529411764667</v>
      </c>
      <c r="M17" s="42">
        <f t="shared" si="1"/>
        <v>-0.84235294117646653</v>
      </c>
      <c r="N17" s="42">
        <f t="shared" si="2"/>
        <v>0.70955847750864365</v>
      </c>
      <c r="O17" s="42">
        <f t="shared" si="3"/>
        <v>3.6862497281265552</v>
      </c>
      <c r="R17" s="19" t="s">
        <v>1715</v>
      </c>
      <c r="S17" s="19">
        <v>118</v>
      </c>
      <c r="T17" s="19">
        <v>2969.6208218487391</v>
      </c>
      <c r="U17" s="19"/>
      <c r="V17" s="19"/>
      <c r="W17" s="19"/>
    </row>
    <row r="18" spans="1:26" ht="13" thickBot="1" x14ac:dyDescent="0.3">
      <c r="A18" s="6" t="s">
        <v>644</v>
      </c>
      <c r="B18" s="6">
        <v>74.569999999999993</v>
      </c>
      <c r="C18" s="6">
        <v>8.86</v>
      </c>
      <c r="G18" s="41">
        <v>74.569999999999993</v>
      </c>
      <c r="H18" s="42">
        <v>75.746134453781551</v>
      </c>
      <c r="I18" s="42">
        <f t="shared" si="0"/>
        <v>-1.1761344537815575</v>
      </c>
      <c r="K18" s="41">
        <v>8.86</v>
      </c>
      <c r="L18" s="42">
        <v>8.8323529411764667</v>
      </c>
      <c r="M18" s="42">
        <f t="shared" si="1"/>
        <v>2.7647058823532689E-2</v>
      </c>
      <c r="N18" s="42">
        <f t="shared" si="2"/>
        <v>7.6435986159187667E-4</v>
      </c>
      <c r="O18" s="42">
        <f t="shared" si="3"/>
        <v>-3.2516658428082205E-2</v>
      </c>
    </row>
    <row r="19" spans="1:26" ht="13" x14ac:dyDescent="0.3">
      <c r="A19" s="6" t="s">
        <v>647</v>
      </c>
      <c r="B19" s="6">
        <v>70.72</v>
      </c>
      <c r="C19" s="6">
        <v>7.45</v>
      </c>
      <c r="G19" s="41">
        <v>70.72</v>
      </c>
      <c r="H19" s="42">
        <v>75.746134453781551</v>
      </c>
      <c r="I19" s="42">
        <f t="shared" si="0"/>
        <v>-5.0261344537815518</v>
      </c>
      <c r="K19" s="41">
        <v>7.45</v>
      </c>
      <c r="L19" s="42">
        <v>8.8323529411764667</v>
      </c>
      <c r="M19" s="42">
        <f t="shared" si="1"/>
        <v>-1.3823529411764666</v>
      </c>
      <c r="N19" s="42">
        <f t="shared" si="2"/>
        <v>1.9108996539792276</v>
      </c>
      <c r="O19" s="42">
        <f t="shared" si="3"/>
        <v>6.9478917449333011</v>
      </c>
      <c r="R19" s="20"/>
      <c r="S19" s="20" t="s">
        <v>1722</v>
      </c>
      <c r="T19" s="20" t="s">
        <v>1710</v>
      </c>
      <c r="U19" s="20" t="s">
        <v>1723</v>
      </c>
      <c r="V19" s="20" t="s">
        <v>1724</v>
      </c>
      <c r="W19" s="20" t="s">
        <v>1725</v>
      </c>
      <c r="X19" s="20" t="s">
        <v>1726</v>
      </c>
      <c r="Y19" s="20" t="s">
        <v>1727</v>
      </c>
      <c r="Z19" s="20" t="s">
        <v>1728</v>
      </c>
    </row>
    <row r="20" spans="1:26" x14ac:dyDescent="0.25">
      <c r="A20" s="6" t="s">
        <v>651</v>
      </c>
      <c r="B20" s="6">
        <v>72.05</v>
      </c>
      <c r="C20" s="6">
        <v>7.88</v>
      </c>
      <c r="G20" s="41">
        <v>72.05</v>
      </c>
      <c r="H20" s="42">
        <v>75.746134453781551</v>
      </c>
      <c r="I20" s="42">
        <f t="shared" si="0"/>
        <v>-3.6961344537815535</v>
      </c>
      <c r="K20" s="41">
        <v>7.88</v>
      </c>
      <c r="L20" s="42">
        <v>8.8323529411764667</v>
      </c>
      <c r="M20" s="42">
        <f t="shared" si="1"/>
        <v>-0.95235294117646685</v>
      </c>
      <c r="N20" s="42">
        <f t="shared" si="2"/>
        <v>0.9069761245674669</v>
      </c>
      <c r="O20" s="42">
        <f t="shared" si="3"/>
        <v>3.5200245180425362</v>
      </c>
      <c r="R20" t="s">
        <v>1716</v>
      </c>
      <c r="S20">
        <v>50.353325164083934</v>
      </c>
      <c r="T20">
        <v>0.84612745324278249</v>
      </c>
      <c r="U20">
        <v>59.51033141768994</v>
      </c>
      <c r="V20">
        <v>2.5682813965287304E-89</v>
      </c>
      <c r="W20">
        <v>48.677614081129164</v>
      </c>
      <c r="X20">
        <v>52.029036247038704</v>
      </c>
      <c r="Y20">
        <v>48.677614081129164</v>
      </c>
      <c r="Z20">
        <v>52.029036247038704</v>
      </c>
    </row>
    <row r="21" spans="1:26" ht="13" thickBot="1" x14ac:dyDescent="0.3">
      <c r="A21" s="6" t="s">
        <v>655</v>
      </c>
      <c r="B21" s="6">
        <v>73.989999999999995</v>
      </c>
      <c r="C21" s="6">
        <v>8.4</v>
      </c>
      <c r="G21" s="41">
        <v>73.989999999999995</v>
      </c>
      <c r="H21" s="42">
        <v>75.746134453781551</v>
      </c>
      <c r="I21" s="42">
        <f t="shared" si="0"/>
        <v>-1.7561344537815557</v>
      </c>
      <c r="K21" s="41">
        <v>8.4</v>
      </c>
      <c r="L21" s="42">
        <v>8.8323529411764667</v>
      </c>
      <c r="M21" s="42">
        <f t="shared" si="1"/>
        <v>-0.43235294117646639</v>
      </c>
      <c r="N21" s="42">
        <f t="shared" si="2"/>
        <v>0.186929065743941</v>
      </c>
      <c r="O21" s="42">
        <f t="shared" si="3"/>
        <v>0.75926989619378293</v>
      </c>
      <c r="R21" s="19" t="s">
        <v>3</v>
      </c>
      <c r="S21" s="19">
        <v>2.8749767427563082</v>
      </c>
      <c r="T21" s="19">
        <v>9.4192980769669421E-2</v>
      </c>
      <c r="U21" s="19">
        <v>30.522197293941716</v>
      </c>
      <c r="V21" s="19">
        <v>1.4970587958122169E-57</v>
      </c>
      <c r="W21" s="19">
        <v>2.6884324801781845</v>
      </c>
      <c r="X21" s="19">
        <v>3.0615210053344319</v>
      </c>
      <c r="Y21" s="19">
        <v>2.6884324801781845</v>
      </c>
      <c r="Z21" s="19">
        <v>3.0615210053344319</v>
      </c>
    </row>
    <row r="22" spans="1:26" x14ac:dyDescent="0.25">
      <c r="A22" s="6" t="s">
        <v>659</v>
      </c>
      <c r="B22" s="6">
        <v>73.819999999999993</v>
      </c>
      <c r="C22" s="6">
        <v>8.5399999999999991</v>
      </c>
      <c r="G22" s="41">
        <v>73.819999999999993</v>
      </c>
      <c r="H22" s="42">
        <v>75.746134453781551</v>
      </c>
      <c r="I22" s="42">
        <f t="shared" si="0"/>
        <v>-1.9261344537815575</v>
      </c>
      <c r="K22" s="41">
        <v>8.5399999999999991</v>
      </c>
      <c r="L22" s="42">
        <v>8.8323529411764667</v>
      </c>
      <c r="M22" s="42">
        <f t="shared" si="1"/>
        <v>-0.2923529411764676</v>
      </c>
      <c r="N22" s="42">
        <f t="shared" si="2"/>
        <v>8.5470242214531117E-2</v>
      </c>
      <c r="O22" s="42">
        <f t="shared" si="3"/>
        <v>0.56311107266436722</v>
      </c>
    </row>
    <row r="23" spans="1:26" x14ac:dyDescent="0.25">
      <c r="A23" s="6" t="s">
        <v>663</v>
      </c>
      <c r="B23" s="6">
        <v>76.8</v>
      </c>
      <c r="C23" s="6">
        <v>10.19</v>
      </c>
      <c r="G23" s="41">
        <v>76.8</v>
      </c>
      <c r="H23" s="42">
        <v>75.746134453781551</v>
      </c>
      <c r="I23" s="42">
        <f t="shared" si="0"/>
        <v>1.0538655462184465</v>
      </c>
      <c r="K23" s="41">
        <v>10.19</v>
      </c>
      <c r="L23" s="42">
        <v>8.8323529411764667</v>
      </c>
      <c r="M23" s="42">
        <f t="shared" si="1"/>
        <v>1.3576470588235328</v>
      </c>
      <c r="N23" s="42">
        <f t="shared" si="2"/>
        <v>1.8432055363321891</v>
      </c>
      <c r="O23" s="42">
        <f t="shared" si="3"/>
        <v>1.4307774592189297</v>
      </c>
    </row>
    <row r="24" spans="1:26" x14ac:dyDescent="0.25">
      <c r="A24" s="6" t="s">
        <v>667</v>
      </c>
      <c r="B24" s="6">
        <v>70.77</v>
      </c>
      <c r="C24" s="6">
        <v>8.57</v>
      </c>
      <c r="G24" s="41">
        <v>70.77</v>
      </c>
      <c r="H24" s="42">
        <v>75.746134453781551</v>
      </c>
      <c r="I24" s="42">
        <f t="shared" si="0"/>
        <v>-4.9761344537815546</v>
      </c>
      <c r="K24" s="41">
        <v>8.57</v>
      </c>
      <c r="L24" s="42">
        <v>8.8323529411764667</v>
      </c>
      <c r="M24" s="42">
        <f t="shared" si="1"/>
        <v>-0.26235294117646646</v>
      </c>
      <c r="N24" s="42">
        <f t="shared" si="2"/>
        <v>6.8829065743942472E-2</v>
      </c>
      <c r="O24" s="42">
        <f t="shared" si="3"/>
        <v>1.3055035096391403</v>
      </c>
    </row>
    <row r="25" spans="1:26" x14ac:dyDescent="0.25">
      <c r="A25" s="6" t="s">
        <v>671</v>
      </c>
      <c r="B25" s="6">
        <v>71.03</v>
      </c>
      <c r="C25" s="6">
        <v>8.4700000000000006</v>
      </c>
      <c r="G25" s="41">
        <v>71.03</v>
      </c>
      <c r="H25" s="42">
        <v>75.746134453781551</v>
      </c>
      <c r="I25" s="42">
        <f t="shared" si="0"/>
        <v>-4.7161344537815495</v>
      </c>
      <c r="K25" s="41">
        <v>8.4700000000000006</v>
      </c>
      <c r="L25" s="42">
        <v>8.8323529411764667</v>
      </c>
      <c r="M25" s="42">
        <f t="shared" si="1"/>
        <v>-0.3623529411764661</v>
      </c>
      <c r="N25" s="42">
        <f t="shared" si="2"/>
        <v>0.13129965397923551</v>
      </c>
      <c r="O25" s="42">
        <f t="shared" si="3"/>
        <v>1.708905190311411</v>
      </c>
    </row>
    <row r="26" spans="1:26" x14ac:dyDescent="0.25">
      <c r="A26" s="6" t="s">
        <v>675</v>
      </c>
      <c r="B26" s="6">
        <v>79.03</v>
      </c>
      <c r="C26" s="6">
        <v>10.79</v>
      </c>
      <c r="G26" s="41">
        <v>79.03</v>
      </c>
      <c r="H26" s="42">
        <v>75.746134453781551</v>
      </c>
      <c r="I26" s="42">
        <f t="shared" si="0"/>
        <v>3.2838655462184505</v>
      </c>
      <c r="K26" s="41">
        <v>10.79</v>
      </c>
      <c r="L26" s="42">
        <v>8.8323529411764667</v>
      </c>
      <c r="M26" s="42">
        <f t="shared" si="1"/>
        <v>1.9576470588235324</v>
      </c>
      <c r="N26" s="42">
        <f t="shared" si="2"/>
        <v>3.8323820069204269</v>
      </c>
      <c r="O26" s="42">
        <f t="shared" si="3"/>
        <v>6.4286497281264827</v>
      </c>
    </row>
    <row r="27" spans="1:26" x14ac:dyDescent="0.25">
      <c r="A27" s="6" t="s">
        <v>679</v>
      </c>
      <c r="B27" s="6">
        <v>77.69</v>
      </c>
      <c r="C27" s="6">
        <v>10.44</v>
      </c>
      <c r="G27" s="41">
        <v>77.69</v>
      </c>
      <c r="H27" s="42">
        <v>75.746134453781551</v>
      </c>
      <c r="I27" s="42">
        <f t="shared" si="0"/>
        <v>1.9438655462184471</v>
      </c>
      <c r="K27" s="41">
        <v>10.44</v>
      </c>
      <c r="L27" s="42">
        <v>8.8323529411764667</v>
      </c>
      <c r="M27" s="42">
        <f t="shared" si="1"/>
        <v>1.6076470588235328</v>
      </c>
      <c r="N27" s="42">
        <f t="shared" si="2"/>
        <v>2.5845290657439555</v>
      </c>
      <c r="O27" s="42">
        <f t="shared" si="3"/>
        <v>3.1250497281264864</v>
      </c>
    </row>
    <row r="28" spans="1:26" x14ac:dyDescent="0.25">
      <c r="A28" s="6" t="s">
        <v>681</v>
      </c>
      <c r="B28" s="6">
        <v>83.75</v>
      </c>
      <c r="C28" s="6">
        <v>11.05</v>
      </c>
      <c r="G28" s="41">
        <v>83.75</v>
      </c>
      <c r="H28" s="42">
        <v>75.746134453781551</v>
      </c>
      <c r="I28" s="42">
        <f t="shared" si="0"/>
        <v>8.0038655462184494</v>
      </c>
      <c r="K28" s="41">
        <v>11.05</v>
      </c>
      <c r="L28" s="42">
        <v>8.8323529411764667</v>
      </c>
      <c r="M28" s="42">
        <f t="shared" si="1"/>
        <v>2.217647058823534</v>
      </c>
      <c r="N28" s="42">
        <f t="shared" si="2"/>
        <v>4.9179584775086704</v>
      </c>
      <c r="O28" s="42">
        <f t="shared" si="3"/>
        <v>17.749748887790361</v>
      </c>
    </row>
    <row r="29" spans="1:26" x14ac:dyDescent="0.25">
      <c r="A29" s="6" t="s">
        <v>685</v>
      </c>
      <c r="B29" s="6">
        <v>78.09</v>
      </c>
      <c r="C29" s="6">
        <v>10.66</v>
      </c>
      <c r="G29" s="41">
        <v>78.09</v>
      </c>
      <c r="H29" s="42">
        <v>75.746134453781551</v>
      </c>
      <c r="I29" s="42">
        <f t="shared" si="0"/>
        <v>2.3438655462184528</v>
      </c>
      <c r="K29" s="41">
        <v>10.66</v>
      </c>
      <c r="L29" s="42">
        <v>8.8323529411764667</v>
      </c>
      <c r="M29" s="42">
        <f t="shared" si="1"/>
        <v>1.8276470588235334</v>
      </c>
      <c r="N29" s="42">
        <f t="shared" si="2"/>
        <v>3.3402937716263121</v>
      </c>
      <c r="O29" s="42">
        <f t="shared" si="3"/>
        <v>4.2837589718239695</v>
      </c>
    </row>
    <row r="30" spans="1:26" x14ac:dyDescent="0.25">
      <c r="A30" s="6" t="s">
        <v>687</v>
      </c>
      <c r="B30" s="6">
        <v>83.55</v>
      </c>
      <c r="C30" s="6">
        <v>11.9</v>
      </c>
      <c r="G30" s="41">
        <v>83.55</v>
      </c>
      <c r="H30" s="42">
        <v>75.746134453781551</v>
      </c>
      <c r="I30" s="42">
        <f t="shared" si="0"/>
        <v>7.8038655462184465</v>
      </c>
      <c r="K30" s="41">
        <v>11.9</v>
      </c>
      <c r="L30" s="42">
        <v>8.8323529411764667</v>
      </c>
      <c r="M30" s="42">
        <f t="shared" si="1"/>
        <v>3.0676470588235336</v>
      </c>
      <c r="N30" s="42">
        <f t="shared" si="2"/>
        <v>9.4104584775086764</v>
      </c>
      <c r="O30" s="42">
        <f t="shared" si="3"/>
        <v>23.939505190311326</v>
      </c>
    </row>
    <row r="31" spans="1:26" x14ac:dyDescent="0.25">
      <c r="A31" s="6" t="s">
        <v>691</v>
      </c>
      <c r="B31" s="6">
        <v>83.05</v>
      </c>
      <c r="C31" s="6">
        <v>11.58</v>
      </c>
      <c r="G31" s="41">
        <v>83.05</v>
      </c>
      <c r="H31" s="42">
        <v>75.746134453781551</v>
      </c>
      <c r="I31" s="42">
        <f t="shared" si="0"/>
        <v>7.3038655462184465</v>
      </c>
      <c r="K31" s="41">
        <v>11.58</v>
      </c>
      <c r="L31" s="42">
        <v>8.8323529411764667</v>
      </c>
      <c r="M31" s="42">
        <f t="shared" si="1"/>
        <v>2.7476470588235333</v>
      </c>
      <c r="N31" s="42">
        <f t="shared" si="2"/>
        <v>7.5495643598616136</v>
      </c>
      <c r="O31" s="42">
        <f t="shared" si="3"/>
        <v>20.068444686109654</v>
      </c>
    </row>
    <row r="32" spans="1:26" x14ac:dyDescent="0.25">
      <c r="A32" s="6" t="s">
        <v>695</v>
      </c>
      <c r="B32" s="6">
        <v>80.3</v>
      </c>
      <c r="C32" s="6">
        <v>11.47</v>
      </c>
      <c r="G32" s="41">
        <v>80.3</v>
      </c>
      <c r="H32" s="42">
        <v>75.746134453781551</v>
      </c>
      <c r="I32" s="42">
        <f t="shared" si="0"/>
        <v>4.5538655462184465</v>
      </c>
      <c r="K32" s="41">
        <v>11.47</v>
      </c>
      <c r="L32" s="42">
        <v>8.8323529411764667</v>
      </c>
      <c r="M32" s="42">
        <f t="shared" si="1"/>
        <v>2.6376470588235339</v>
      </c>
      <c r="N32" s="42">
        <f t="shared" si="2"/>
        <v>6.9571820069204389</v>
      </c>
      <c r="O32" s="42">
        <f t="shared" si="3"/>
        <v>12.011490064260911</v>
      </c>
    </row>
    <row r="33" spans="1:15" x14ac:dyDescent="0.25">
      <c r="A33" s="6" t="s">
        <v>699</v>
      </c>
      <c r="B33" s="6">
        <v>76.03</v>
      </c>
      <c r="C33" s="6">
        <v>9.86</v>
      </c>
      <c r="G33" s="41">
        <v>76.03</v>
      </c>
      <c r="H33" s="42">
        <v>75.746134453781551</v>
      </c>
      <c r="I33" s="42">
        <f t="shared" si="0"/>
        <v>0.2838655462184505</v>
      </c>
      <c r="K33" s="41">
        <v>9.86</v>
      </c>
      <c r="L33" s="42">
        <v>8.8323529411764667</v>
      </c>
      <c r="M33" s="42">
        <f t="shared" si="1"/>
        <v>1.0276470588235327</v>
      </c>
      <c r="N33" s="42">
        <f t="shared" si="2"/>
        <v>1.0560584775086572</v>
      </c>
      <c r="O33" s="42">
        <f t="shared" si="3"/>
        <v>0.29171359367272626</v>
      </c>
    </row>
    <row r="34" spans="1:15" x14ac:dyDescent="0.25">
      <c r="A34" s="6" t="s">
        <v>702</v>
      </c>
      <c r="B34" s="6">
        <v>75.010000000000005</v>
      </c>
      <c r="C34" s="6">
        <v>9.15</v>
      </c>
      <c r="G34" s="41">
        <v>75.010000000000005</v>
      </c>
      <c r="H34" s="42">
        <v>75.746134453781551</v>
      </c>
      <c r="I34" s="42">
        <f t="shared" si="0"/>
        <v>-0.73613445378154552</v>
      </c>
      <c r="K34" s="41">
        <v>9.15</v>
      </c>
      <c r="L34" s="42">
        <v>8.8323529411764667</v>
      </c>
      <c r="M34" s="42">
        <f t="shared" si="1"/>
        <v>0.31764705882353361</v>
      </c>
      <c r="N34" s="42">
        <f t="shared" si="2"/>
        <v>0.10089965397924142</v>
      </c>
      <c r="O34" s="42">
        <f t="shared" si="3"/>
        <v>-0.23383094414237637</v>
      </c>
    </row>
    <row r="35" spans="1:15" x14ac:dyDescent="0.25">
      <c r="A35" s="6" t="s">
        <v>707</v>
      </c>
      <c r="B35" s="6">
        <v>72.55</v>
      </c>
      <c r="C35" s="6">
        <v>7.4</v>
      </c>
      <c r="G35" s="41">
        <v>72.55</v>
      </c>
      <c r="H35" s="42">
        <v>75.746134453781551</v>
      </c>
      <c r="I35" s="42">
        <f t="shared" si="0"/>
        <v>-3.1961344537815535</v>
      </c>
      <c r="K35" s="41">
        <v>7.4</v>
      </c>
      <c r="L35" s="42">
        <v>8.8323529411764667</v>
      </c>
      <c r="M35" s="42">
        <f t="shared" si="1"/>
        <v>-1.4323529411764664</v>
      </c>
      <c r="N35" s="42">
        <f t="shared" si="2"/>
        <v>2.0516349480968739</v>
      </c>
      <c r="O35" s="42">
        <f t="shared" si="3"/>
        <v>4.5779925852694472</v>
      </c>
    </row>
    <row r="36" spans="1:15" x14ac:dyDescent="0.25">
      <c r="A36" s="6" t="s">
        <v>711</v>
      </c>
      <c r="B36" s="6">
        <v>74.52</v>
      </c>
      <c r="C36" s="6">
        <v>7.91</v>
      </c>
      <c r="G36" s="41">
        <v>74.52</v>
      </c>
      <c r="H36" s="42">
        <v>75.746134453781551</v>
      </c>
      <c r="I36" s="42">
        <f t="shared" si="0"/>
        <v>-1.2261344537815546</v>
      </c>
      <c r="K36" s="41">
        <v>7.91</v>
      </c>
      <c r="L36" s="42">
        <v>8.8323529411764667</v>
      </c>
      <c r="M36" s="42">
        <f t="shared" si="1"/>
        <v>-0.9223529411764666</v>
      </c>
      <c r="N36" s="42">
        <f t="shared" si="2"/>
        <v>0.85073494809687844</v>
      </c>
      <c r="O36" s="42">
        <f t="shared" si="3"/>
        <v>1.1309287197232172</v>
      </c>
    </row>
    <row r="37" spans="1:15" x14ac:dyDescent="0.25">
      <c r="A37" s="6" t="s">
        <v>715</v>
      </c>
      <c r="B37" s="6">
        <v>70.97</v>
      </c>
      <c r="C37" s="6">
        <v>7.36</v>
      </c>
      <c r="G37" s="41">
        <v>70.97</v>
      </c>
      <c r="H37" s="42">
        <v>75.746134453781551</v>
      </c>
      <c r="I37" s="42">
        <f t="shared" si="0"/>
        <v>-4.7761344537815518</v>
      </c>
      <c r="K37" s="41">
        <v>7.36</v>
      </c>
      <c r="L37" s="42">
        <v>8.8323529411764667</v>
      </c>
      <c r="M37" s="42">
        <f t="shared" si="1"/>
        <v>-1.4723529411764664</v>
      </c>
      <c r="N37" s="42">
        <f t="shared" si="2"/>
        <v>2.1678231833909911</v>
      </c>
      <c r="O37" s="42">
        <f t="shared" si="3"/>
        <v>7.0321556104795233</v>
      </c>
    </row>
    <row r="38" spans="1:15" x14ac:dyDescent="0.25">
      <c r="A38" s="6" t="s">
        <v>719</v>
      </c>
      <c r="B38" s="6">
        <v>69.62</v>
      </c>
      <c r="C38" s="6">
        <v>6.87</v>
      </c>
      <c r="G38" s="41">
        <v>69.62</v>
      </c>
      <c r="H38" s="42">
        <v>75.746134453781551</v>
      </c>
      <c r="I38" s="42">
        <f t="shared" si="0"/>
        <v>-6.1261344537815461</v>
      </c>
      <c r="K38" s="41">
        <v>6.87</v>
      </c>
      <c r="L38" s="42">
        <v>8.8323529411764667</v>
      </c>
      <c r="M38" s="42">
        <f t="shared" si="1"/>
        <v>-1.9623529411764666</v>
      </c>
      <c r="N38" s="42">
        <f t="shared" si="2"/>
        <v>3.850829065743929</v>
      </c>
      <c r="O38" s="42">
        <f t="shared" si="3"/>
        <v>12.021637963420703</v>
      </c>
    </row>
    <row r="39" spans="1:15" x14ac:dyDescent="0.25">
      <c r="A39" s="6" t="s">
        <v>722</v>
      </c>
      <c r="B39" s="6">
        <v>72.48</v>
      </c>
      <c r="C39" s="6">
        <v>7.87</v>
      </c>
      <c r="G39" s="41">
        <v>72.48</v>
      </c>
      <c r="H39" s="42">
        <v>75.746134453781551</v>
      </c>
      <c r="I39" s="42">
        <f t="shared" si="0"/>
        <v>-3.2661344537815467</v>
      </c>
      <c r="K39" s="41">
        <v>7.87</v>
      </c>
      <c r="L39" s="42">
        <v>8.8323529411764667</v>
      </c>
      <c r="M39" s="42">
        <f t="shared" si="1"/>
        <v>-0.96235294117646664</v>
      </c>
      <c r="N39" s="42">
        <f t="shared" si="2"/>
        <v>0.92612318339099586</v>
      </c>
      <c r="O39" s="42">
        <f t="shared" si="3"/>
        <v>3.1431740978744638</v>
      </c>
    </row>
    <row r="40" spans="1:15" x14ac:dyDescent="0.25">
      <c r="A40" s="6" t="s">
        <v>726</v>
      </c>
      <c r="B40" s="6">
        <v>75.16</v>
      </c>
      <c r="C40" s="6">
        <v>8.65</v>
      </c>
      <c r="G40" s="41">
        <v>75.16</v>
      </c>
      <c r="H40" s="42">
        <v>75.746134453781551</v>
      </c>
      <c r="I40" s="42">
        <f t="shared" si="0"/>
        <v>-0.58613445378155404</v>
      </c>
      <c r="K40" s="41">
        <v>8.65</v>
      </c>
      <c r="L40" s="42">
        <v>8.8323529411764667</v>
      </c>
      <c r="M40" s="42">
        <f t="shared" si="1"/>
        <v>-0.18235294117646639</v>
      </c>
      <c r="N40" s="42">
        <f t="shared" si="2"/>
        <v>3.3252595155707811E-2</v>
      </c>
      <c r="O40" s="42">
        <f t="shared" si="3"/>
        <v>0.10688334157192798</v>
      </c>
    </row>
    <row r="41" spans="1:15" x14ac:dyDescent="0.25">
      <c r="A41" s="6" t="s">
        <v>729</v>
      </c>
      <c r="B41" s="6">
        <v>70.63</v>
      </c>
      <c r="C41" s="6">
        <v>6.9</v>
      </c>
      <c r="G41" s="41">
        <v>70.63</v>
      </c>
      <c r="H41" s="42">
        <v>75.746134453781551</v>
      </c>
      <c r="I41" s="42">
        <f t="shared" si="0"/>
        <v>-5.1161344537815552</v>
      </c>
      <c r="K41" s="41">
        <v>6.9</v>
      </c>
      <c r="L41" s="42">
        <v>8.8323529411764667</v>
      </c>
      <c r="M41" s="42">
        <f t="shared" si="1"/>
        <v>-1.9323529411764664</v>
      </c>
      <c r="N41" s="42">
        <f t="shared" si="2"/>
        <v>3.7339878892733402</v>
      </c>
      <c r="O41" s="42">
        <f t="shared" si="3"/>
        <v>9.8861774592190432</v>
      </c>
    </row>
    <row r="42" spans="1:15" x14ac:dyDescent="0.25">
      <c r="A42" s="6" t="s">
        <v>733</v>
      </c>
      <c r="B42" s="6">
        <v>72.099999999999994</v>
      </c>
      <c r="C42" s="6">
        <v>7.83</v>
      </c>
      <c r="G42" s="41">
        <v>72.099999999999994</v>
      </c>
      <c r="H42" s="42">
        <v>75.746134453781551</v>
      </c>
      <c r="I42" s="42">
        <f t="shared" si="0"/>
        <v>-3.6461344537815563</v>
      </c>
      <c r="K42" s="41">
        <v>7.83</v>
      </c>
      <c r="L42" s="42">
        <v>8.8323529411764667</v>
      </c>
      <c r="M42" s="42">
        <f t="shared" si="1"/>
        <v>-1.0023529411764667</v>
      </c>
      <c r="N42" s="42">
        <f t="shared" si="2"/>
        <v>1.0047114186851132</v>
      </c>
      <c r="O42" s="42">
        <f t="shared" si="3"/>
        <v>3.6547135936727928</v>
      </c>
    </row>
    <row r="43" spans="1:15" x14ac:dyDescent="0.25">
      <c r="A43" s="6" t="s">
        <v>737</v>
      </c>
      <c r="B43" s="6">
        <v>75.959999999999994</v>
      </c>
      <c r="C43" s="6">
        <v>8.17</v>
      </c>
      <c r="G43" s="41">
        <v>75.959999999999994</v>
      </c>
      <c r="H43" s="42">
        <v>75.746134453781551</v>
      </c>
      <c r="I43" s="42">
        <f t="shared" si="0"/>
        <v>0.21386554621844311</v>
      </c>
      <c r="K43" s="41">
        <v>8.17</v>
      </c>
      <c r="L43" s="42">
        <v>8.8323529411764667</v>
      </c>
      <c r="M43" s="42">
        <f t="shared" si="1"/>
        <v>-0.66235294117646681</v>
      </c>
      <c r="N43" s="42">
        <f t="shared" si="2"/>
        <v>0.43871141868511609</v>
      </c>
      <c r="O43" s="42">
        <f t="shared" si="3"/>
        <v>-0.14165447355409741</v>
      </c>
    </row>
    <row r="44" spans="1:15" x14ac:dyDescent="0.25">
      <c r="A44" s="6" t="s">
        <v>740</v>
      </c>
      <c r="B44" s="6">
        <v>78.16</v>
      </c>
      <c r="C44" s="6">
        <v>9.2899999999999991</v>
      </c>
      <c r="G44" s="41">
        <v>78.16</v>
      </c>
      <c r="H44" s="42">
        <v>75.746134453781551</v>
      </c>
      <c r="I44" s="42">
        <f t="shared" si="0"/>
        <v>2.413865546218446</v>
      </c>
      <c r="K44" s="41">
        <v>9.2899999999999991</v>
      </c>
      <c r="L44" s="42">
        <v>8.8323529411764667</v>
      </c>
      <c r="M44" s="42">
        <f t="shared" si="1"/>
        <v>0.4576470588235324</v>
      </c>
      <c r="N44" s="42">
        <f t="shared" si="2"/>
        <v>0.20944083044982972</v>
      </c>
      <c r="O44" s="42">
        <f t="shared" si="3"/>
        <v>1.1046984676223313</v>
      </c>
    </row>
    <row r="45" spans="1:15" x14ac:dyDescent="0.25">
      <c r="A45" s="6" t="s">
        <v>744</v>
      </c>
      <c r="B45" s="6">
        <v>79.3</v>
      </c>
      <c r="C45" s="6">
        <v>10.01</v>
      </c>
      <c r="G45" s="41">
        <v>79.3</v>
      </c>
      <c r="H45" s="42">
        <v>75.746134453781551</v>
      </c>
      <c r="I45" s="42">
        <f t="shared" si="0"/>
        <v>3.5538655462184465</v>
      </c>
      <c r="K45" s="41">
        <v>10.01</v>
      </c>
      <c r="L45" s="42">
        <v>8.8323529411764667</v>
      </c>
      <c r="M45" s="42">
        <f t="shared" si="1"/>
        <v>1.177647058823533</v>
      </c>
      <c r="N45" s="42">
        <f t="shared" si="2"/>
        <v>1.3868525951557178</v>
      </c>
      <c r="O45" s="42">
        <f t="shared" si="3"/>
        <v>4.1851993079584426</v>
      </c>
    </row>
    <row r="46" spans="1:15" x14ac:dyDescent="0.25">
      <c r="A46" s="6" t="s">
        <v>748</v>
      </c>
      <c r="B46" s="6">
        <v>72.540000000000006</v>
      </c>
      <c r="C46" s="6">
        <v>7.68</v>
      </c>
      <c r="G46" s="41">
        <v>72.540000000000006</v>
      </c>
      <c r="H46" s="42">
        <v>75.746134453781551</v>
      </c>
      <c r="I46" s="42">
        <f t="shared" si="0"/>
        <v>-3.2061344537815444</v>
      </c>
      <c r="K46" s="41">
        <v>7.68</v>
      </c>
      <c r="L46" s="42">
        <v>8.8323529411764667</v>
      </c>
      <c r="M46" s="42">
        <f t="shared" si="1"/>
        <v>-1.152352941176467</v>
      </c>
      <c r="N46" s="42">
        <f t="shared" si="2"/>
        <v>1.3279173010380541</v>
      </c>
      <c r="O46" s="42">
        <f t="shared" si="3"/>
        <v>3.6945984676223684</v>
      </c>
    </row>
    <row r="47" spans="1:15" x14ac:dyDescent="0.25">
      <c r="A47" s="6" t="s">
        <v>752</v>
      </c>
      <c r="B47" s="6">
        <v>78.11</v>
      </c>
      <c r="C47" s="6">
        <v>9.26</v>
      </c>
      <c r="G47" s="41">
        <v>78.11</v>
      </c>
      <c r="H47" s="42">
        <v>75.746134453781551</v>
      </c>
      <c r="I47" s="42">
        <f t="shared" si="0"/>
        <v>2.3638655462184488</v>
      </c>
      <c r="K47" s="41">
        <v>9.26</v>
      </c>
      <c r="L47" s="42">
        <v>8.8323529411764667</v>
      </c>
      <c r="M47" s="42">
        <f t="shared" si="1"/>
        <v>0.42764705882353304</v>
      </c>
      <c r="N47" s="42">
        <f t="shared" si="2"/>
        <v>0.18288200692041834</v>
      </c>
      <c r="O47" s="42">
        <f t="shared" si="3"/>
        <v>1.0109001482946041</v>
      </c>
    </row>
    <row r="48" spans="1:15" x14ac:dyDescent="0.25">
      <c r="A48" s="6" t="s">
        <v>756</v>
      </c>
      <c r="B48" s="6">
        <v>75.53</v>
      </c>
      <c r="C48" s="6">
        <v>7.88</v>
      </c>
      <c r="G48" s="41">
        <v>75.53</v>
      </c>
      <c r="H48" s="42">
        <v>75.746134453781551</v>
      </c>
      <c r="I48" s="42">
        <f t="shared" si="0"/>
        <v>-0.2161344537815495</v>
      </c>
      <c r="K48" s="41">
        <v>7.88</v>
      </c>
      <c r="L48" s="42">
        <v>8.8323529411764667</v>
      </c>
      <c r="M48" s="42">
        <f t="shared" si="1"/>
        <v>-0.95235294117646685</v>
      </c>
      <c r="N48" s="42">
        <f t="shared" si="2"/>
        <v>0.9069761245674669</v>
      </c>
      <c r="O48" s="42">
        <f t="shared" si="3"/>
        <v>0.2058362827484278</v>
      </c>
    </row>
    <row r="49" spans="1:15" x14ac:dyDescent="0.25">
      <c r="A49" s="6" t="s">
        <v>760</v>
      </c>
      <c r="B49" s="6">
        <v>72.02</v>
      </c>
      <c r="C49" s="6">
        <v>7.29</v>
      </c>
      <c r="G49" s="41">
        <v>72.02</v>
      </c>
      <c r="H49" s="42">
        <v>75.746134453781551</v>
      </c>
      <c r="I49" s="42">
        <f t="shared" si="0"/>
        <v>-3.7261344537815546</v>
      </c>
      <c r="K49" s="41">
        <v>7.29</v>
      </c>
      <c r="L49" s="42">
        <v>8.8323529411764667</v>
      </c>
      <c r="M49" s="42">
        <f t="shared" si="1"/>
        <v>-1.5423529411764667</v>
      </c>
      <c r="N49" s="42">
        <f t="shared" si="2"/>
        <v>2.3788525951556974</v>
      </c>
      <c r="O49" s="42">
        <f t="shared" si="3"/>
        <v>5.747014434008948</v>
      </c>
    </row>
    <row r="50" spans="1:15" x14ac:dyDescent="0.25">
      <c r="A50" s="6" t="s">
        <v>764</v>
      </c>
      <c r="B50" s="6">
        <v>71.42</v>
      </c>
      <c r="C50" s="6">
        <v>7.26</v>
      </c>
      <c r="G50" s="41">
        <v>71.42</v>
      </c>
      <c r="H50" s="42">
        <v>75.746134453781551</v>
      </c>
      <c r="I50" s="42">
        <f t="shared" si="0"/>
        <v>-4.3261344537815489</v>
      </c>
      <c r="K50" s="41">
        <v>7.26</v>
      </c>
      <c r="L50" s="42">
        <v>8.8323529411764667</v>
      </c>
      <c r="M50" s="42">
        <f t="shared" si="1"/>
        <v>-1.572352941176467</v>
      </c>
      <c r="N50" s="42">
        <f t="shared" si="2"/>
        <v>2.4722937716262861</v>
      </c>
      <c r="O50" s="42">
        <f t="shared" si="3"/>
        <v>6.8022102323282665</v>
      </c>
    </row>
    <row r="51" spans="1:15" x14ac:dyDescent="0.25">
      <c r="A51" s="6" t="s">
        <v>768</v>
      </c>
      <c r="B51" s="6">
        <v>72.53</v>
      </c>
      <c r="C51" s="6">
        <v>7.73</v>
      </c>
      <c r="G51" s="41">
        <v>72.53</v>
      </c>
      <c r="H51" s="42">
        <v>75.746134453781551</v>
      </c>
      <c r="I51" s="42">
        <f t="shared" si="0"/>
        <v>-3.2161344537815495</v>
      </c>
      <c r="K51" s="41">
        <v>7.73</v>
      </c>
      <c r="L51" s="42">
        <v>8.8323529411764667</v>
      </c>
      <c r="M51" s="42">
        <f t="shared" si="1"/>
        <v>-1.1023529411764663</v>
      </c>
      <c r="N51" s="42">
        <f t="shared" si="2"/>
        <v>1.2151820069204058</v>
      </c>
      <c r="O51" s="42">
        <f t="shared" si="3"/>
        <v>3.5453152743450591</v>
      </c>
    </row>
    <row r="52" spans="1:15" x14ac:dyDescent="0.25">
      <c r="A52" s="6" t="s">
        <v>772</v>
      </c>
      <c r="B52" s="6">
        <v>74.099999999999994</v>
      </c>
      <c r="C52" s="6">
        <v>7.82</v>
      </c>
      <c r="G52" s="41">
        <v>74.099999999999994</v>
      </c>
      <c r="H52" s="42">
        <v>75.746134453781551</v>
      </c>
      <c r="I52" s="42">
        <f t="shared" si="0"/>
        <v>-1.6461344537815563</v>
      </c>
      <c r="K52" s="41">
        <v>7.82</v>
      </c>
      <c r="L52" s="42">
        <v>8.8323529411764667</v>
      </c>
      <c r="M52" s="42">
        <f t="shared" si="1"/>
        <v>-1.0123529411764665</v>
      </c>
      <c r="N52" s="42">
        <f t="shared" si="2"/>
        <v>1.0248584775086422</v>
      </c>
      <c r="O52" s="42">
        <f t="shared" si="3"/>
        <v>1.6664690558576747</v>
      </c>
    </row>
    <row r="53" spans="1:15" x14ac:dyDescent="0.25">
      <c r="A53" s="6" t="s">
        <v>776</v>
      </c>
      <c r="B53" s="6">
        <v>77.209999999999994</v>
      </c>
      <c r="C53" s="6">
        <v>9.35</v>
      </c>
      <c r="G53" s="41">
        <v>77.209999999999994</v>
      </c>
      <c r="H53" s="42">
        <v>75.746134453781551</v>
      </c>
      <c r="I53" s="42">
        <f t="shared" si="0"/>
        <v>1.4638655462184431</v>
      </c>
      <c r="K53" s="41">
        <v>9.35</v>
      </c>
      <c r="L53" s="42">
        <v>8.8323529411764667</v>
      </c>
      <c r="M53" s="42">
        <f t="shared" si="1"/>
        <v>0.5176470588235329</v>
      </c>
      <c r="N53" s="42">
        <f t="shared" si="2"/>
        <v>0.26795847750865415</v>
      </c>
      <c r="O53" s="42">
        <f t="shared" si="3"/>
        <v>0.75776569451308151</v>
      </c>
    </row>
    <row r="54" spans="1:15" x14ac:dyDescent="0.25">
      <c r="A54" s="6" t="s">
        <v>780</v>
      </c>
      <c r="B54" s="6">
        <v>74.319999999999993</v>
      </c>
      <c r="C54" s="6">
        <v>8.27</v>
      </c>
      <c r="G54" s="41">
        <v>74.319999999999993</v>
      </c>
      <c r="H54" s="42">
        <v>75.746134453781551</v>
      </c>
      <c r="I54" s="42">
        <f t="shared" si="0"/>
        <v>-1.4261344537815575</v>
      </c>
      <c r="K54" s="41">
        <v>8.27</v>
      </c>
      <c r="L54" s="42">
        <v>8.8323529411764667</v>
      </c>
      <c r="M54" s="42">
        <f t="shared" si="1"/>
        <v>-0.56235294117646717</v>
      </c>
      <c r="N54" s="42">
        <f t="shared" si="2"/>
        <v>0.31624083044982315</v>
      </c>
      <c r="O54" s="42">
        <f t="shared" si="3"/>
        <v>0.80199090459715328</v>
      </c>
    </row>
    <row r="55" spans="1:15" x14ac:dyDescent="0.25">
      <c r="A55" s="6" t="s">
        <v>784</v>
      </c>
      <c r="B55" s="6">
        <v>74.569999999999993</v>
      </c>
      <c r="C55" s="6">
        <v>8.2799999999999994</v>
      </c>
      <c r="G55" s="41">
        <v>74.569999999999993</v>
      </c>
      <c r="H55" s="42">
        <v>75.746134453781551</v>
      </c>
      <c r="I55" s="42">
        <f t="shared" si="0"/>
        <v>-1.1761344537815575</v>
      </c>
      <c r="K55" s="41">
        <v>8.2799999999999994</v>
      </c>
      <c r="L55" s="42">
        <v>8.8323529411764667</v>
      </c>
      <c r="M55" s="42">
        <f t="shared" si="1"/>
        <v>-0.55235294117646738</v>
      </c>
      <c r="N55" s="42">
        <f t="shared" si="2"/>
        <v>0.30509377162629403</v>
      </c>
      <c r="O55" s="42">
        <f t="shared" si="3"/>
        <v>0.64964132476522118</v>
      </c>
    </row>
    <row r="56" spans="1:15" x14ac:dyDescent="0.25">
      <c r="A56" s="6" t="s">
        <v>787</v>
      </c>
      <c r="B56" s="6">
        <v>75.67</v>
      </c>
      <c r="C56" s="6">
        <v>8.16</v>
      </c>
      <c r="G56" s="41">
        <v>75.67</v>
      </c>
      <c r="H56" s="42">
        <v>75.746134453781551</v>
      </c>
      <c r="I56" s="42">
        <f t="shared" si="0"/>
        <v>-7.6134453781548928E-2</v>
      </c>
      <c r="K56" s="41">
        <v>8.16</v>
      </c>
      <c r="L56" s="42">
        <v>8.8323529411764667</v>
      </c>
      <c r="M56" s="42">
        <f t="shared" si="1"/>
        <v>-0.6723529411764666</v>
      </c>
      <c r="N56" s="42">
        <f t="shared" si="2"/>
        <v>0.45205847750864514</v>
      </c>
      <c r="O56" s="42">
        <f t="shared" si="3"/>
        <v>5.1189223924888179E-2</v>
      </c>
    </row>
    <row r="57" spans="1:15" x14ac:dyDescent="0.25">
      <c r="A57" s="6" t="s">
        <v>791</v>
      </c>
      <c r="B57" s="6">
        <v>71.86</v>
      </c>
      <c r="C57" s="6">
        <v>7.53</v>
      </c>
      <c r="G57" s="41">
        <v>71.86</v>
      </c>
      <c r="H57" s="42">
        <v>75.746134453781551</v>
      </c>
      <c r="I57" s="42">
        <f t="shared" si="0"/>
        <v>-3.8861344537815512</v>
      </c>
      <c r="K57" s="41">
        <v>7.53</v>
      </c>
      <c r="L57" s="42">
        <v>8.8323529411764667</v>
      </c>
      <c r="M57" s="42">
        <f t="shared" si="1"/>
        <v>-1.3023529411764665</v>
      </c>
      <c r="N57" s="42">
        <f t="shared" si="2"/>
        <v>1.6961231833909929</v>
      </c>
      <c r="O57" s="42">
        <f t="shared" si="3"/>
        <v>5.0611186356896045</v>
      </c>
    </row>
    <row r="58" spans="1:15" x14ac:dyDescent="0.25">
      <c r="A58" s="6" t="s">
        <v>795</v>
      </c>
      <c r="B58" s="6">
        <v>74.34</v>
      </c>
      <c r="C58" s="6">
        <v>7.74</v>
      </c>
      <c r="G58" s="41">
        <v>74.34</v>
      </c>
      <c r="H58" s="42">
        <v>75.746134453781551</v>
      </c>
      <c r="I58" s="42">
        <f t="shared" si="0"/>
        <v>-1.4061344537815472</v>
      </c>
      <c r="K58" s="41">
        <v>7.74</v>
      </c>
      <c r="L58" s="42">
        <v>8.8323529411764667</v>
      </c>
      <c r="M58" s="42">
        <f t="shared" si="1"/>
        <v>-1.0923529411764665</v>
      </c>
      <c r="N58" s="42">
        <f t="shared" si="2"/>
        <v>1.1932349480968769</v>
      </c>
      <c r="O58" s="42">
        <f t="shared" si="3"/>
        <v>1.5359951062778374</v>
      </c>
    </row>
    <row r="59" spans="1:15" x14ac:dyDescent="0.25">
      <c r="A59" s="6" t="s">
        <v>799</v>
      </c>
      <c r="B59" s="6">
        <v>70.73</v>
      </c>
      <c r="C59" s="6">
        <v>7.08</v>
      </c>
      <c r="G59" s="41">
        <v>70.73</v>
      </c>
      <c r="H59" s="42">
        <v>75.746134453781551</v>
      </c>
      <c r="I59" s="42">
        <f t="shared" si="0"/>
        <v>-5.0161344537815467</v>
      </c>
      <c r="K59" s="41">
        <v>7.08</v>
      </c>
      <c r="L59" s="42">
        <v>8.8323529411764667</v>
      </c>
      <c r="M59" s="42">
        <f t="shared" si="1"/>
        <v>-1.7523529411764667</v>
      </c>
      <c r="N59" s="42">
        <f t="shared" si="2"/>
        <v>3.0707408304498132</v>
      </c>
      <c r="O59" s="42">
        <f t="shared" si="3"/>
        <v>8.7900379634207031</v>
      </c>
    </row>
    <row r="60" spans="1:15" x14ac:dyDescent="0.25">
      <c r="A60" s="6" t="s">
        <v>803</v>
      </c>
      <c r="B60" s="6">
        <v>71.95</v>
      </c>
      <c r="C60" s="6">
        <v>7.48</v>
      </c>
      <c r="G60" s="41">
        <v>71.95</v>
      </c>
      <c r="H60" s="42">
        <v>75.746134453781551</v>
      </c>
      <c r="I60" s="42">
        <f t="shared" si="0"/>
        <v>-3.7961344537815478</v>
      </c>
      <c r="K60" s="41">
        <v>7.48</v>
      </c>
      <c r="L60" s="42">
        <v>8.8323529411764667</v>
      </c>
      <c r="M60" s="42">
        <f t="shared" si="1"/>
        <v>-1.3523529411764663</v>
      </c>
      <c r="N60" s="42">
        <f t="shared" si="2"/>
        <v>1.8288584775086389</v>
      </c>
      <c r="O60" s="42">
        <f t="shared" si="3"/>
        <v>5.1337135936727947</v>
      </c>
    </row>
    <row r="61" spans="1:15" x14ac:dyDescent="0.25">
      <c r="A61" s="6" t="s">
        <v>807</v>
      </c>
      <c r="B61" s="6">
        <v>68.650000000000006</v>
      </c>
      <c r="C61" s="6">
        <v>6.56</v>
      </c>
      <c r="G61" s="41">
        <v>68.650000000000006</v>
      </c>
      <c r="H61" s="42">
        <v>75.746134453781551</v>
      </c>
      <c r="I61" s="42">
        <f t="shared" si="0"/>
        <v>-7.0961344537815449</v>
      </c>
      <c r="K61" s="41">
        <v>6.56</v>
      </c>
      <c r="L61" s="42">
        <v>8.8323529411764667</v>
      </c>
      <c r="M61" s="42">
        <f t="shared" si="1"/>
        <v>-2.2723529411764671</v>
      </c>
      <c r="N61" s="42">
        <f t="shared" si="2"/>
        <v>5.1635878892733409</v>
      </c>
      <c r="O61" s="42">
        <f t="shared" si="3"/>
        <v>16.124921997034157</v>
      </c>
    </row>
    <row r="62" spans="1:15" x14ac:dyDescent="0.25">
      <c r="A62" s="6" t="s">
        <v>811</v>
      </c>
      <c r="B62" s="6">
        <v>71.7</v>
      </c>
      <c r="C62" s="6">
        <v>7.36</v>
      </c>
      <c r="G62" s="41">
        <v>71.7</v>
      </c>
      <c r="H62" s="42">
        <v>75.746134453781551</v>
      </c>
      <c r="I62" s="42">
        <f t="shared" si="0"/>
        <v>-4.0461344537815478</v>
      </c>
      <c r="K62" s="41">
        <v>7.36</v>
      </c>
      <c r="L62" s="42">
        <v>8.8323529411764667</v>
      </c>
      <c r="M62" s="42">
        <f t="shared" si="1"/>
        <v>-1.4723529411764664</v>
      </c>
      <c r="N62" s="42">
        <f t="shared" si="2"/>
        <v>2.1678231833909911</v>
      </c>
      <c r="O62" s="42">
        <f t="shared" si="3"/>
        <v>5.9573379634206978</v>
      </c>
    </row>
    <row r="63" spans="1:15" x14ac:dyDescent="0.25">
      <c r="A63" s="6" t="s">
        <v>815</v>
      </c>
      <c r="B63" s="6">
        <v>70.180000000000007</v>
      </c>
      <c r="C63" s="6">
        <v>6.41</v>
      </c>
      <c r="G63" s="41">
        <v>70.180000000000007</v>
      </c>
      <c r="H63" s="42">
        <v>75.746134453781551</v>
      </c>
      <c r="I63" s="42">
        <f t="shared" si="0"/>
        <v>-5.5661344537815438</v>
      </c>
      <c r="K63" s="41">
        <v>6.41</v>
      </c>
      <c r="L63" s="42">
        <v>8.8323529411764667</v>
      </c>
      <c r="M63" s="42">
        <f t="shared" si="1"/>
        <v>-2.4223529411764666</v>
      </c>
      <c r="N63" s="42">
        <f t="shared" si="2"/>
        <v>5.8677937716262782</v>
      </c>
      <c r="O63" s="42">
        <f t="shared" si="3"/>
        <v>13.483142165101388</v>
      </c>
    </row>
    <row r="64" spans="1:15" x14ac:dyDescent="0.25">
      <c r="A64" s="6" t="s">
        <v>818</v>
      </c>
      <c r="B64" s="6">
        <v>82.15</v>
      </c>
      <c r="C64" s="6">
        <v>11.43</v>
      </c>
      <c r="G64" s="41">
        <v>82.15</v>
      </c>
      <c r="H64" s="42">
        <v>75.746134453781551</v>
      </c>
      <c r="I64" s="42">
        <f t="shared" si="0"/>
        <v>6.4038655462184551</v>
      </c>
      <c r="K64" s="41">
        <v>11.43</v>
      </c>
      <c r="L64" s="42">
        <v>8.8323529411764667</v>
      </c>
      <c r="M64" s="42">
        <f t="shared" si="1"/>
        <v>2.597647058823533</v>
      </c>
      <c r="N64" s="42">
        <f t="shared" si="2"/>
        <v>6.7477702422145516</v>
      </c>
      <c r="O64" s="42">
        <f t="shared" si="3"/>
        <v>16.634982501235726</v>
      </c>
    </row>
    <row r="65" spans="1:15" x14ac:dyDescent="0.25">
      <c r="A65" s="6" t="s">
        <v>821</v>
      </c>
      <c r="B65" s="6">
        <v>84.41</v>
      </c>
      <c r="C65" s="6">
        <v>11.25</v>
      </c>
      <c r="G65" s="41">
        <v>84.41</v>
      </c>
      <c r="H65" s="42">
        <v>75.746134453781551</v>
      </c>
      <c r="I65" s="42">
        <f t="shared" si="0"/>
        <v>8.663865546218446</v>
      </c>
      <c r="K65" s="41">
        <v>11.25</v>
      </c>
      <c r="L65" s="42">
        <v>8.8323529411764667</v>
      </c>
      <c r="M65" s="42">
        <f t="shared" si="1"/>
        <v>2.4176470588235333</v>
      </c>
      <c r="N65" s="42">
        <f t="shared" si="2"/>
        <v>5.845017301038081</v>
      </c>
      <c r="O65" s="42">
        <f t="shared" si="3"/>
        <v>20.94616905585757</v>
      </c>
    </row>
    <row r="66" spans="1:15" x14ac:dyDescent="0.25">
      <c r="A66" s="6" t="s">
        <v>824</v>
      </c>
      <c r="B66" s="6">
        <v>85.72</v>
      </c>
      <c r="C66" s="6">
        <v>11.48</v>
      </c>
      <c r="G66" s="41">
        <v>85.72</v>
      </c>
      <c r="H66" s="42">
        <v>75.746134453781551</v>
      </c>
      <c r="I66" s="42">
        <f t="shared" si="0"/>
        <v>9.9738655462184482</v>
      </c>
      <c r="K66" s="41">
        <v>11.48</v>
      </c>
      <c r="L66" s="42">
        <v>8.8323529411764667</v>
      </c>
      <c r="M66" s="42">
        <f t="shared" si="1"/>
        <v>2.6476470588235337</v>
      </c>
      <c r="N66" s="42">
        <f t="shared" si="2"/>
        <v>7.0100349480969086</v>
      </c>
      <c r="O66" s="42">
        <f t="shared" si="3"/>
        <v>26.407275778546651</v>
      </c>
    </row>
    <row r="67" spans="1:15" x14ac:dyDescent="0.25">
      <c r="A67" s="6" t="s">
        <v>827</v>
      </c>
      <c r="B67" s="6">
        <v>85.24</v>
      </c>
      <c r="C67" s="6">
        <v>11.05</v>
      </c>
      <c r="G67" s="41">
        <v>85.24</v>
      </c>
      <c r="H67" s="42">
        <v>75.746134453781551</v>
      </c>
      <c r="I67" s="42">
        <f t="shared" ref="I67:I120" si="4">G67-H67</f>
        <v>9.4938655462184443</v>
      </c>
      <c r="K67" s="41">
        <v>11.05</v>
      </c>
      <c r="L67" s="42">
        <v>8.8323529411764667</v>
      </c>
      <c r="M67" s="42">
        <f t="shared" ref="M67:M120" si="5">K67-L67</f>
        <v>2.217647058823534</v>
      </c>
      <c r="N67" s="42">
        <f t="shared" ref="N67:N120" si="6">M67^2</f>
        <v>4.9179584775086704</v>
      </c>
      <c r="O67" s="42">
        <f t="shared" ref="O67:O120" si="7">I67*M67</f>
        <v>21.054043005437418</v>
      </c>
    </row>
    <row r="68" spans="1:15" x14ac:dyDescent="0.25">
      <c r="A68" s="6" t="s">
        <v>830</v>
      </c>
      <c r="B68" s="6">
        <v>77.209999999999994</v>
      </c>
      <c r="C68" s="6">
        <v>9.34</v>
      </c>
      <c r="G68" s="41">
        <v>77.209999999999994</v>
      </c>
      <c r="H68" s="42">
        <v>75.746134453781551</v>
      </c>
      <c r="I68" s="42">
        <f t="shared" si="4"/>
        <v>1.4638655462184431</v>
      </c>
      <c r="K68" s="41">
        <v>9.34</v>
      </c>
      <c r="L68" s="42">
        <v>8.8323529411764667</v>
      </c>
      <c r="M68" s="42">
        <f t="shared" si="5"/>
        <v>0.50764705882353311</v>
      </c>
      <c r="N68" s="42">
        <f t="shared" si="6"/>
        <v>0.25770553633218368</v>
      </c>
      <c r="O68" s="42">
        <f t="shared" si="7"/>
        <v>0.74312703905089739</v>
      </c>
    </row>
    <row r="69" spans="1:15" x14ac:dyDescent="0.25">
      <c r="A69" s="6" t="s">
        <v>833</v>
      </c>
      <c r="B69" s="6">
        <v>77.5</v>
      </c>
      <c r="C69" s="6">
        <v>9.2799999999999994</v>
      </c>
      <c r="G69" s="41">
        <v>77.5</v>
      </c>
      <c r="H69" s="42">
        <v>75.746134453781551</v>
      </c>
      <c r="I69" s="42">
        <f t="shared" si="4"/>
        <v>1.7538655462184494</v>
      </c>
      <c r="K69" s="41">
        <v>9.2799999999999994</v>
      </c>
      <c r="L69" s="42">
        <v>8.8323529411764667</v>
      </c>
      <c r="M69" s="42">
        <f t="shared" si="5"/>
        <v>0.44764705882353262</v>
      </c>
      <c r="N69" s="42">
        <f t="shared" si="6"/>
        <v>0.20038788927335927</v>
      </c>
      <c r="O69" s="42">
        <f t="shared" si="7"/>
        <v>0.78511275333661734</v>
      </c>
    </row>
    <row r="70" spans="1:15" x14ac:dyDescent="0.25">
      <c r="A70" s="6" t="s">
        <v>838</v>
      </c>
      <c r="B70" s="6">
        <v>76.180000000000007</v>
      </c>
      <c r="C70" s="6">
        <v>9.1999999999999993</v>
      </c>
      <c r="G70" s="41">
        <v>76.180000000000007</v>
      </c>
      <c r="H70" s="42">
        <v>75.746134453781551</v>
      </c>
      <c r="I70" s="42">
        <f t="shared" si="4"/>
        <v>0.43386554621845619</v>
      </c>
      <c r="K70" s="41">
        <v>9.1999999999999993</v>
      </c>
      <c r="L70" s="42">
        <v>8.8323529411764667</v>
      </c>
      <c r="M70" s="42">
        <f t="shared" si="5"/>
        <v>0.36764705882353255</v>
      </c>
      <c r="N70" s="42">
        <f t="shared" si="6"/>
        <v>0.135164359861594</v>
      </c>
      <c r="O70" s="42">
        <f t="shared" si="7"/>
        <v>0.15950939199208083</v>
      </c>
    </row>
    <row r="71" spans="1:15" x14ac:dyDescent="0.25">
      <c r="A71" s="6" t="s">
        <v>840</v>
      </c>
      <c r="B71" s="6">
        <v>82.05</v>
      </c>
      <c r="C71" s="6">
        <v>9.81</v>
      </c>
      <c r="G71" s="41">
        <v>82.05</v>
      </c>
      <c r="H71" s="42">
        <v>75.746134453781551</v>
      </c>
      <c r="I71" s="42">
        <f t="shared" si="4"/>
        <v>6.3038655462184465</v>
      </c>
      <c r="K71" s="41">
        <v>9.81</v>
      </c>
      <c r="L71" s="42">
        <v>8.8323529411764667</v>
      </c>
      <c r="M71" s="42">
        <f t="shared" si="5"/>
        <v>0.97764705882353375</v>
      </c>
      <c r="N71" s="42">
        <f t="shared" si="6"/>
        <v>0.95579377162630608</v>
      </c>
      <c r="O71" s="42">
        <f t="shared" si="7"/>
        <v>6.1629556104794734</v>
      </c>
    </row>
    <row r="72" spans="1:15" x14ac:dyDescent="0.25">
      <c r="A72" s="6" t="s">
        <v>843</v>
      </c>
      <c r="B72" s="6">
        <v>72.14</v>
      </c>
      <c r="C72" s="6">
        <v>7.35</v>
      </c>
      <c r="G72" s="41">
        <v>72.14</v>
      </c>
      <c r="H72" s="42">
        <v>75.746134453781551</v>
      </c>
      <c r="I72" s="42">
        <f t="shared" si="4"/>
        <v>-3.6061344537815501</v>
      </c>
      <c r="K72" s="41">
        <v>7.35</v>
      </c>
      <c r="L72" s="42">
        <v>8.8323529411764667</v>
      </c>
      <c r="M72" s="42">
        <f t="shared" si="5"/>
        <v>-1.4823529411764671</v>
      </c>
      <c r="N72" s="42">
        <f t="shared" si="6"/>
        <v>2.1973702422145225</v>
      </c>
      <c r="O72" s="42">
        <f t="shared" si="7"/>
        <v>5.3455640138408738</v>
      </c>
    </row>
    <row r="73" spans="1:15" x14ac:dyDescent="0.25">
      <c r="A73" s="6" t="s">
        <v>847</v>
      </c>
      <c r="B73" s="6">
        <v>85.71</v>
      </c>
      <c r="C73" s="6">
        <v>11.33</v>
      </c>
      <c r="G73" s="41">
        <v>85.71</v>
      </c>
      <c r="H73" s="42">
        <v>75.746134453781551</v>
      </c>
      <c r="I73" s="42">
        <f t="shared" si="4"/>
        <v>9.9638655462184431</v>
      </c>
      <c r="K73" s="41">
        <v>11.33</v>
      </c>
      <c r="L73" s="42">
        <v>8.8323529411764667</v>
      </c>
      <c r="M73" s="42">
        <f t="shared" si="5"/>
        <v>2.4976470588235333</v>
      </c>
      <c r="N73" s="42">
        <f t="shared" si="6"/>
        <v>6.2382408304498469</v>
      </c>
      <c r="O73" s="42">
        <f t="shared" si="7"/>
        <v>24.886219476025634</v>
      </c>
    </row>
    <row r="74" spans="1:15" x14ac:dyDescent="0.25">
      <c r="A74" s="6" t="s">
        <v>851</v>
      </c>
      <c r="B74" s="6">
        <v>89.1</v>
      </c>
      <c r="C74" s="6">
        <v>12.12</v>
      </c>
      <c r="G74" s="41">
        <v>89.1</v>
      </c>
      <c r="H74" s="42">
        <v>75.746134453781551</v>
      </c>
      <c r="I74" s="42">
        <f t="shared" si="4"/>
        <v>13.353865546218444</v>
      </c>
      <c r="K74" s="41">
        <v>12.12</v>
      </c>
      <c r="L74" s="42">
        <v>8.8323529411764667</v>
      </c>
      <c r="M74" s="42">
        <f t="shared" si="5"/>
        <v>3.2876470588235325</v>
      </c>
      <c r="N74" s="42">
        <f t="shared" si="6"/>
        <v>10.808623183391024</v>
      </c>
      <c r="O74" s="42">
        <f t="shared" si="7"/>
        <v>43.90279678694997</v>
      </c>
    </row>
    <row r="75" spans="1:15" x14ac:dyDescent="0.25">
      <c r="A75" s="6" t="s">
        <v>856</v>
      </c>
      <c r="B75" s="6">
        <v>71.489999999999995</v>
      </c>
      <c r="C75" s="6">
        <v>7.9</v>
      </c>
      <c r="G75" s="41">
        <v>71.489999999999995</v>
      </c>
      <c r="H75" s="42">
        <v>75.746134453781551</v>
      </c>
      <c r="I75" s="42">
        <f t="shared" si="4"/>
        <v>-4.2561344537815557</v>
      </c>
      <c r="K75" s="41">
        <v>7.9</v>
      </c>
      <c r="L75" s="42">
        <v>8.8323529411764667</v>
      </c>
      <c r="M75" s="42">
        <f t="shared" si="5"/>
        <v>-0.93235294117646639</v>
      </c>
      <c r="N75" s="42">
        <f t="shared" si="6"/>
        <v>0.86928200692040736</v>
      </c>
      <c r="O75" s="42">
        <f t="shared" si="7"/>
        <v>3.9682194760257268</v>
      </c>
    </row>
    <row r="76" spans="1:15" x14ac:dyDescent="0.25">
      <c r="A76" s="6" t="s">
        <v>860</v>
      </c>
      <c r="B76" s="6">
        <v>73.7</v>
      </c>
      <c r="C76" s="6">
        <v>7.8</v>
      </c>
      <c r="G76" s="41">
        <v>73.7</v>
      </c>
      <c r="H76" s="42">
        <v>75.746134453781551</v>
      </c>
      <c r="I76" s="42">
        <f t="shared" si="4"/>
        <v>-2.0461344537815478</v>
      </c>
      <c r="K76" s="41">
        <v>7.8</v>
      </c>
      <c r="L76" s="42">
        <v>8.8323529411764667</v>
      </c>
      <c r="M76" s="42">
        <f t="shared" si="5"/>
        <v>-1.0323529411764669</v>
      </c>
      <c r="N76" s="42">
        <f t="shared" si="6"/>
        <v>1.0657525951557019</v>
      </c>
      <c r="O76" s="42">
        <f t="shared" si="7"/>
        <v>2.1123329214038846</v>
      </c>
    </row>
    <row r="77" spans="1:15" x14ac:dyDescent="0.25">
      <c r="A77" s="6" t="s">
        <v>864</v>
      </c>
      <c r="B77" s="6">
        <v>72.47</v>
      </c>
      <c r="C77" s="6">
        <v>7.92</v>
      </c>
      <c r="G77" s="41">
        <v>72.47</v>
      </c>
      <c r="H77" s="42">
        <v>75.746134453781551</v>
      </c>
      <c r="I77" s="42">
        <f t="shared" si="4"/>
        <v>-3.2761344537815518</v>
      </c>
      <c r="K77" s="41">
        <v>7.92</v>
      </c>
      <c r="L77" s="42">
        <v>8.8323529411764667</v>
      </c>
      <c r="M77" s="42">
        <f t="shared" si="5"/>
        <v>-0.91235294117646681</v>
      </c>
      <c r="N77" s="42">
        <f t="shared" si="6"/>
        <v>0.8323878892733495</v>
      </c>
      <c r="O77" s="42">
        <f t="shared" si="7"/>
        <v>2.9889909045971566</v>
      </c>
    </row>
    <row r="78" spans="1:15" x14ac:dyDescent="0.25">
      <c r="A78" s="6" t="s">
        <v>868</v>
      </c>
      <c r="B78" s="6">
        <v>75.13</v>
      </c>
      <c r="C78" s="6">
        <v>8.68</v>
      </c>
      <c r="G78" s="41">
        <v>75.13</v>
      </c>
      <c r="H78" s="42">
        <v>75.746134453781551</v>
      </c>
      <c r="I78" s="42">
        <f t="shared" si="4"/>
        <v>-0.61613445378155518</v>
      </c>
      <c r="K78" s="41">
        <v>8.68</v>
      </c>
      <c r="L78" s="42">
        <v>8.8323529411764667</v>
      </c>
      <c r="M78" s="42">
        <f t="shared" si="5"/>
        <v>-0.15235294117646703</v>
      </c>
      <c r="N78" s="42">
        <f t="shared" si="6"/>
        <v>2.3211418685120021E-2</v>
      </c>
      <c r="O78" s="42">
        <f t="shared" si="7"/>
        <v>9.386989619377592E-2</v>
      </c>
    </row>
    <row r="79" spans="1:15" x14ac:dyDescent="0.25">
      <c r="A79" s="6" t="s">
        <v>871</v>
      </c>
      <c r="B79" s="6">
        <v>73.44</v>
      </c>
      <c r="C79" s="6">
        <v>7.87</v>
      </c>
      <c r="G79" s="41">
        <v>73.44</v>
      </c>
      <c r="H79" s="42">
        <v>75.746134453781551</v>
      </c>
      <c r="I79" s="42">
        <f t="shared" si="4"/>
        <v>-2.3061344537815529</v>
      </c>
      <c r="K79" s="41">
        <v>7.87</v>
      </c>
      <c r="L79" s="42">
        <v>8.8323529411764667</v>
      </c>
      <c r="M79" s="42">
        <f t="shared" si="5"/>
        <v>-0.96235294117646664</v>
      </c>
      <c r="N79" s="42">
        <f t="shared" si="6"/>
        <v>0.92612318339099586</v>
      </c>
      <c r="O79" s="42">
        <f t="shared" si="7"/>
        <v>2.2193152743450617</v>
      </c>
    </row>
    <row r="80" spans="1:15" x14ac:dyDescent="0.25">
      <c r="A80" s="6" t="s">
        <v>875</v>
      </c>
      <c r="B80" s="6">
        <v>75.180000000000007</v>
      </c>
      <c r="C80" s="6">
        <v>8.26</v>
      </c>
      <c r="G80" s="41">
        <v>75.180000000000007</v>
      </c>
      <c r="H80" s="42">
        <v>75.746134453781551</v>
      </c>
      <c r="I80" s="42">
        <f t="shared" si="4"/>
        <v>-0.56613445378154381</v>
      </c>
      <c r="K80" s="41">
        <v>8.26</v>
      </c>
      <c r="L80" s="42">
        <v>8.8323529411764667</v>
      </c>
      <c r="M80" s="42">
        <f t="shared" si="5"/>
        <v>-0.57235294117646696</v>
      </c>
      <c r="N80" s="42">
        <f t="shared" si="6"/>
        <v>0.32758788927335225</v>
      </c>
      <c r="O80" s="42">
        <f t="shared" si="7"/>
        <v>0.32402871972319919</v>
      </c>
    </row>
    <row r="81" spans="1:15" x14ac:dyDescent="0.25">
      <c r="A81" s="6" t="s">
        <v>878</v>
      </c>
      <c r="B81" s="6">
        <v>73.53</v>
      </c>
      <c r="C81" s="6">
        <v>7.8</v>
      </c>
      <c r="G81" s="41">
        <v>73.53</v>
      </c>
      <c r="H81" s="42">
        <v>75.746134453781551</v>
      </c>
      <c r="I81" s="42">
        <f t="shared" si="4"/>
        <v>-2.2161344537815495</v>
      </c>
      <c r="K81" s="41">
        <v>7.8</v>
      </c>
      <c r="L81" s="42">
        <v>8.8323529411764667</v>
      </c>
      <c r="M81" s="42">
        <f t="shared" si="5"/>
        <v>-1.0323529411764669</v>
      </c>
      <c r="N81" s="42">
        <f t="shared" si="6"/>
        <v>1.0657525951557019</v>
      </c>
      <c r="O81" s="42">
        <f t="shared" si="7"/>
        <v>2.2878329214038855</v>
      </c>
    </row>
    <row r="82" spans="1:15" x14ac:dyDescent="0.25">
      <c r="A82" s="6" t="s">
        <v>882</v>
      </c>
      <c r="B82" s="6">
        <v>70.31</v>
      </c>
      <c r="C82" s="6">
        <v>7.27</v>
      </c>
      <c r="G82" s="41">
        <v>70.31</v>
      </c>
      <c r="H82" s="42">
        <v>75.746134453781551</v>
      </c>
      <c r="I82" s="42">
        <f t="shared" si="4"/>
        <v>-5.4361344537815484</v>
      </c>
      <c r="K82" s="41">
        <v>7.27</v>
      </c>
      <c r="L82" s="42">
        <v>8.8323529411764667</v>
      </c>
      <c r="M82" s="42">
        <f t="shared" si="5"/>
        <v>-1.5623529411764672</v>
      </c>
      <c r="N82" s="42">
        <f t="shared" si="6"/>
        <v>2.4409467128027575</v>
      </c>
      <c r="O82" s="42">
        <f t="shared" si="7"/>
        <v>8.4931606524963303</v>
      </c>
    </row>
    <row r="83" spans="1:15" x14ac:dyDescent="0.25">
      <c r="A83" s="6" t="s">
        <v>885</v>
      </c>
      <c r="B83" s="6">
        <v>70.930000000000007</v>
      </c>
      <c r="C83" s="6">
        <v>6.54</v>
      </c>
      <c r="G83" s="41">
        <v>70.930000000000007</v>
      </c>
      <c r="H83" s="42">
        <v>75.746134453781551</v>
      </c>
      <c r="I83" s="42">
        <f t="shared" si="4"/>
        <v>-4.8161344537815438</v>
      </c>
      <c r="K83" s="41">
        <v>6.54</v>
      </c>
      <c r="L83" s="42">
        <v>8.8323529411764667</v>
      </c>
      <c r="M83" s="42">
        <f t="shared" si="5"/>
        <v>-2.2923529411764667</v>
      </c>
      <c r="N83" s="42">
        <f t="shared" si="6"/>
        <v>5.2548820069203979</v>
      </c>
      <c r="O83" s="42">
        <f t="shared" si="7"/>
        <v>11.040279980227439</v>
      </c>
    </row>
    <row r="84" spans="1:15" x14ac:dyDescent="0.25">
      <c r="A84" s="6" t="s">
        <v>887</v>
      </c>
      <c r="B84" s="6">
        <v>74.3</v>
      </c>
      <c r="C84" s="6">
        <v>7.78</v>
      </c>
      <c r="G84" s="41">
        <v>74.3</v>
      </c>
      <c r="H84" s="42">
        <v>75.746134453781551</v>
      </c>
      <c r="I84" s="42">
        <f t="shared" si="4"/>
        <v>-1.4461344537815535</v>
      </c>
      <c r="K84" s="41">
        <v>7.78</v>
      </c>
      <c r="L84" s="42">
        <v>8.8323529411764667</v>
      </c>
      <c r="M84" s="42">
        <f t="shared" si="5"/>
        <v>-1.0523529411764665</v>
      </c>
      <c r="N84" s="42">
        <f t="shared" si="6"/>
        <v>1.1074467128027596</v>
      </c>
      <c r="O84" s="42">
        <f t="shared" si="7"/>
        <v>1.5218438457736407</v>
      </c>
    </row>
    <row r="85" spans="1:15" x14ac:dyDescent="0.25">
      <c r="A85" s="6" t="s">
        <v>891</v>
      </c>
      <c r="B85" s="6">
        <v>71.22</v>
      </c>
      <c r="C85" s="6">
        <v>6.53</v>
      </c>
      <c r="G85" s="41">
        <v>71.22</v>
      </c>
      <c r="H85" s="42">
        <v>75.746134453781551</v>
      </c>
      <c r="I85" s="42">
        <f t="shared" si="4"/>
        <v>-4.5261344537815518</v>
      </c>
      <c r="K85" s="41">
        <v>6.53</v>
      </c>
      <c r="L85" s="42">
        <v>8.8323529411764667</v>
      </c>
      <c r="M85" s="42">
        <f t="shared" si="5"/>
        <v>-2.3023529411764665</v>
      </c>
      <c r="N85" s="42">
        <f t="shared" si="6"/>
        <v>5.3008290657439261</v>
      </c>
      <c r="O85" s="42">
        <f t="shared" si="7"/>
        <v>10.420758971824096</v>
      </c>
    </row>
    <row r="86" spans="1:15" x14ac:dyDescent="0.25">
      <c r="A86" s="6" t="s">
        <v>895</v>
      </c>
      <c r="B86" s="6">
        <v>71.22</v>
      </c>
      <c r="C86" s="6">
        <v>6.93</v>
      </c>
      <c r="G86" s="41">
        <v>71.22</v>
      </c>
      <c r="H86" s="42">
        <v>75.746134453781551</v>
      </c>
      <c r="I86" s="42">
        <f t="shared" si="4"/>
        <v>-4.5261344537815518</v>
      </c>
      <c r="K86" s="41">
        <v>6.93</v>
      </c>
      <c r="L86" s="42">
        <v>8.8323529411764667</v>
      </c>
      <c r="M86" s="42">
        <f t="shared" si="5"/>
        <v>-1.902352941176467</v>
      </c>
      <c r="N86" s="42">
        <f t="shared" si="6"/>
        <v>3.6189467128027548</v>
      </c>
      <c r="O86" s="42">
        <f t="shared" si="7"/>
        <v>8.6103051903114771</v>
      </c>
    </row>
    <row r="87" spans="1:15" x14ac:dyDescent="0.25">
      <c r="A87" s="6" t="s">
        <v>898</v>
      </c>
      <c r="B87" s="6">
        <v>70.849999999999994</v>
      </c>
      <c r="C87" s="6">
        <v>6.31</v>
      </c>
      <c r="G87" s="41">
        <v>70.849999999999994</v>
      </c>
      <c r="H87" s="42">
        <v>75.746134453781551</v>
      </c>
      <c r="I87" s="42">
        <f t="shared" si="4"/>
        <v>-4.8961344537815563</v>
      </c>
      <c r="K87" s="41">
        <v>6.31</v>
      </c>
      <c r="L87" s="42">
        <v>8.8323529411764667</v>
      </c>
      <c r="M87" s="42">
        <f t="shared" si="5"/>
        <v>-2.5223529411764671</v>
      </c>
      <c r="N87" s="42">
        <f t="shared" si="6"/>
        <v>6.362264359861574</v>
      </c>
      <c r="O87" s="42">
        <f t="shared" si="7"/>
        <v>12.349779139891345</v>
      </c>
    </row>
    <row r="88" spans="1:15" x14ac:dyDescent="0.25">
      <c r="A88" s="6" t="s">
        <v>901</v>
      </c>
      <c r="B88" s="6">
        <v>72.36</v>
      </c>
      <c r="C88" s="6">
        <v>7.46</v>
      </c>
      <c r="G88" s="41">
        <v>72.36</v>
      </c>
      <c r="H88" s="42">
        <v>75.746134453781551</v>
      </c>
      <c r="I88" s="42">
        <f t="shared" si="4"/>
        <v>-3.3861344537815512</v>
      </c>
      <c r="K88" s="41">
        <v>7.46</v>
      </c>
      <c r="L88" s="42">
        <v>8.8323529411764667</v>
      </c>
      <c r="M88" s="42">
        <f t="shared" si="5"/>
        <v>-1.3723529411764668</v>
      </c>
      <c r="N88" s="42">
        <f t="shared" si="6"/>
        <v>1.8833525951556989</v>
      </c>
      <c r="O88" s="42">
        <f t="shared" si="7"/>
        <v>4.6469715768660809</v>
      </c>
    </row>
    <row r="89" spans="1:15" x14ac:dyDescent="0.25">
      <c r="A89" s="6" t="s">
        <v>903</v>
      </c>
      <c r="B89" s="6">
        <v>82.67</v>
      </c>
      <c r="C89" s="6">
        <v>10.91</v>
      </c>
      <c r="G89" s="41">
        <v>82.67</v>
      </c>
      <c r="H89" s="42">
        <v>75.746134453781551</v>
      </c>
      <c r="I89" s="42">
        <f t="shared" si="4"/>
        <v>6.9238655462184511</v>
      </c>
      <c r="K89" s="41">
        <v>10.91</v>
      </c>
      <c r="L89" s="42">
        <v>8.8323529411764667</v>
      </c>
      <c r="M89" s="42">
        <f t="shared" si="5"/>
        <v>2.0776470588235334</v>
      </c>
      <c r="N89" s="42">
        <f t="shared" si="6"/>
        <v>4.3166173010380788</v>
      </c>
      <c r="O89" s="42">
        <f t="shared" si="7"/>
        <v>14.385348887790363</v>
      </c>
    </row>
    <row r="90" spans="1:15" x14ac:dyDescent="0.25">
      <c r="A90" s="6" t="s">
        <v>907</v>
      </c>
      <c r="B90" s="6">
        <v>76.69</v>
      </c>
      <c r="C90" s="6">
        <v>9.1300000000000008</v>
      </c>
      <c r="G90" s="41">
        <v>76.69</v>
      </c>
      <c r="H90" s="42">
        <v>75.746134453781551</v>
      </c>
      <c r="I90" s="42">
        <f t="shared" si="4"/>
        <v>0.94386554621844709</v>
      </c>
      <c r="K90" s="41">
        <v>9.1300000000000008</v>
      </c>
      <c r="L90" s="42">
        <v>8.8323529411764667</v>
      </c>
      <c r="M90" s="42">
        <f t="shared" si="5"/>
        <v>0.29764705882353404</v>
      </c>
      <c r="N90" s="42">
        <f t="shared" si="6"/>
        <v>8.8593771626300333E-2</v>
      </c>
      <c r="O90" s="42">
        <f t="shared" si="7"/>
        <v>0.2809388037567892</v>
      </c>
    </row>
    <row r="91" spans="1:15" x14ac:dyDescent="0.25">
      <c r="A91" s="6" t="s">
        <v>911</v>
      </c>
      <c r="B91" s="6">
        <v>75.67</v>
      </c>
      <c r="C91" s="6">
        <v>8.7799999999999994</v>
      </c>
      <c r="G91" s="41">
        <v>75.67</v>
      </c>
      <c r="H91" s="42">
        <v>75.746134453781551</v>
      </c>
      <c r="I91" s="42">
        <f t="shared" si="4"/>
        <v>-7.6134453781548928E-2</v>
      </c>
      <c r="K91" s="41">
        <v>8.7799999999999994</v>
      </c>
      <c r="L91" s="42">
        <v>8.8323529411764667</v>
      </c>
      <c r="M91" s="42">
        <f t="shared" si="5"/>
        <v>-5.2352941176467382E-2</v>
      </c>
      <c r="N91" s="42">
        <f t="shared" si="6"/>
        <v>2.7408304498266539E-3</v>
      </c>
      <c r="O91" s="42">
        <f t="shared" si="7"/>
        <v>3.9858625803279053E-3</v>
      </c>
    </row>
    <row r="92" spans="1:15" x14ac:dyDescent="0.25">
      <c r="A92" s="6" t="s">
        <v>914</v>
      </c>
      <c r="B92" s="6">
        <v>75.239999999999995</v>
      </c>
      <c r="C92" s="6">
        <v>8.25</v>
      </c>
      <c r="G92" s="41">
        <v>75.239999999999995</v>
      </c>
      <c r="H92" s="42">
        <v>75.746134453781551</v>
      </c>
      <c r="I92" s="42">
        <f t="shared" si="4"/>
        <v>-0.50613445378155575</v>
      </c>
      <c r="K92" s="41">
        <v>8.25</v>
      </c>
      <c r="L92" s="42">
        <v>8.8323529411764667</v>
      </c>
      <c r="M92" s="42">
        <f t="shared" si="5"/>
        <v>-0.58235294117646674</v>
      </c>
      <c r="N92" s="42">
        <f t="shared" si="6"/>
        <v>0.33913494809688133</v>
      </c>
      <c r="O92" s="42">
        <f t="shared" si="7"/>
        <v>0.29474888779043346</v>
      </c>
    </row>
    <row r="93" spans="1:15" x14ac:dyDescent="0.25">
      <c r="A93" s="6" t="s">
        <v>918</v>
      </c>
      <c r="B93" s="6">
        <v>74.81</v>
      </c>
      <c r="C93" s="6">
        <v>8.1999999999999993</v>
      </c>
      <c r="G93" s="41">
        <v>74.81</v>
      </c>
      <c r="H93" s="42">
        <v>75.746134453781551</v>
      </c>
      <c r="I93" s="42">
        <f t="shared" si="4"/>
        <v>-0.93613445378154836</v>
      </c>
      <c r="K93" s="41">
        <v>8.1999999999999993</v>
      </c>
      <c r="L93" s="42">
        <v>8.8323529411764667</v>
      </c>
      <c r="M93" s="42">
        <f t="shared" si="5"/>
        <v>-0.63235294117646745</v>
      </c>
      <c r="N93" s="42">
        <f t="shared" si="6"/>
        <v>0.39987024221452888</v>
      </c>
      <c r="O93" s="42">
        <f t="shared" si="7"/>
        <v>0.59196737518538789</v>
      </c>
    </row>
    <row r="94" spans="1:15" x14ac:dyDescent="0.25">
      <c r="A94" s="6" t="s">
        <v>921</v>
      </c>
      <c r="B94" s="6">
        <v>76.77</v>
      </c>
      <c r="C94" s="6">
        <v>8.69</v>
      </c>
      <c r="G94" s="41">
        <v>76.77</v>
      </c>
      <c r="H94" s="42">
        <v>75.746134453781551</v>
      </c>
      <c r="I94" s="42">
        <f t="shared" si="4"/>
        <v>1.0238655462184454</v>
      </c>
      <c r="K94" s="41">
        <v>8.69</v>
      </c>
      <c r="L94" s="42">
        <v>8.8323529411764667</v>
      </c>
      <c r="M94" s="42">
        <f t="shared" si="5"/>
        <v>-0.14235294117646724</v>
      </c>
      <c r="N94" s="42">
        <f t="shared" si="6"/>
        <v>2.0264359861590742E-2</v>
      </c>
      <c r="O94" s="42">
        <f t="shared" si="7"/>
        <v>-0.14575027187344586</v>
      </c>
    </row>
    <row r="95" spans="1:15" x14ac:dyDescent="0.25">
      <c r="A95" s="6" t="s">
        <v>924</v>
      </c>
      <c r="B95" s="6">
        <v>73.91</v>
      </c>
      <c r="C95" s="6">
        <v>7.84</v>
      </c>
      <c r="G95" s="41">
        <v>73.91</v>
      </c>
      <c r="H95" s="42">
        <v>75.746134453781551</v>
      </c>
      <c r="I95" s="42">
        <f t="shared" si="4"/>
        <v>-1.836134453781554</v>
      </c>
      <c r="K95" s="41">
        <v>7.84</v>
      </c>
      <c r="L95" s="42">
        <v>8.8323529411764667</v>
      </c>
      <c r="M95" s="42">
        <f t="shared" si="5"/>
        <v>-0.99235294117646689</v>
      </c>
      <c r="N95" s="42">
        <f t="shared" si="6"/>
        <v>0.98476435986158439</v>
      </c>
      <c r="O95" s="42">
        <f t="shared" si="7"/>
        <v>1.8220934256055707</v>
      </c>
    </row>
    <row r="96" spans="1:15" x14ac:dyDescent="0.25">
      <c r="A96" s="6" t="s">
        <v>927</v>
      </c>
      <c r="B96" s="6">
        <v>72.75</v>
      </c>
      <c r="C96" s="6">
        <v>7.59</v>
      </c>
      <c r="G96" s="41">
        <v>72.75</v>
      </c>
      <c r="H96" s="42">
        <v>75.746134453781551</v>
      </c>
      <c r="I96" s="42">
        <f t="shared" si="4"/>
        <v>-2.9961344537815506</v>
      </c>
      <c r="K96" s="41">
        <v>7.59</v>
      </c>
      <c r="L96" s="42">
        <v>8.8323529411764667</v>
      </c>
      <c r="M96" s="42">
        <f t="shared" si="5"/>
        <v>-1.2423529411764669</v>
      </c>
      <c r="N96" s="42">
        <f t="shared" si="6"/>
        <v>1.5434408304498177</v>
      </c>
      <c r="O96" s="42">
        <f t="shared" si="7"/>
        <v>3.7222564508156566</v>
      </c>
    </row>
    <row r="97" spans="1:15" x14ac:dyDescent="0.25">
      <c r="A97" s="6" t="s">
        <v>931</v>
      </c>
      <c r="B97" s="6">
        <v>72.31</v>
      </c>
      <c r="C97" s="6">
        <v>7.53</v>
      </c>
      <c r="G97" s="41">
        <v>72.31</v>
      </c>
      <c r="H97" s="42">
        <v>75.746134453781551</v>
      </c>
      <c r="I97" s="42">
        <f t="shared" si="4"/>
        <v>-3.4361344537815484</v>
      </c>
      <c r="K97" s="41">
        <v>7.53</v>
      </c>
      <c r="L97" s="42">
        <v>8.8323529411764667</v>
      </c>
      <c r="M97" s="42">
        <f t="shared" si="5"/>
        <v>-1.3023529411764665</v>
      </c>
      <c r="N97" s="42">
        <f t="shared" si="6"/>
        <v>1.6961231833909929</v>
      </c>
      <c r="O97" s="42">
        <f t="shared" si="7"/>
        <v>4.4750598121601906</v>
      </c>
    </row>
    <row r="98" spans="1:15" x14ac:dyDescent="0.25">
      <c r="A98" s="6" t="s">
        <v>935</v>
      </c>
      <c r="B98" s="6">
        <v>75.900000000000006</v>
      </c>
      <c r="C98" s="6">
        <v>8.48</v>
      </c>
      <c r="G98" s="41">
        <v>75.900000000000006</v>
      </c>
      <c r="H98" s="42">
        <v>75.746134453781551</v>
      </c>
      <c r="I98" s="42">
        <f t="shared" si="4"/>
        <v>0.15386554621845505</v>
      </c>
      <c r="K98" s="41">
        <v>8.48</v>
      </c>
      <c r="L98" s="42">
        <v>8.8323529411764667</v>
      </c>
      <c r="M98" s="42">
        <f t="shared" si="5"/>
        <v>-0.35235294117646632</v>
      </c>
      <c r="N98" s="42">
        <f t="shared" si="6"/>
        <v>0.12415259515570633</v>
      </c>
      <c r="O98" s="42">
        <f t="shared" si="7"/>
        <v>-5.4214977755796152E-2</v>
      </c>
    </row>
    <row r="99" spans="1:15" x14ac:dyDescent="0.25">
      <c r="A99" s="6" t="s">
        <v>939</v>
      </c>
      <c r="B99" s="6">
        <v>78.930000000000007</v>
      </c>
      <c r="C99" s="6">
        <v>10.029999999999999</v>
      </c>
      <c r="G99" s="41">
        <v>78.930000000000007</v>
      </c>
      <c r="H99" s="42">
        <v>75.746134453781551</v>
      </c>
      <c r="I99" s="42">
        <f t="shared" si="4"/>
        <v>3.1838655462184562</v>
      </c>
      <c r="K99" s="41">
        <v>10.029999999999999</v>
      </c>
      <c r="L99" s="42">
        <v>8.8323529411764667</v>
      </c>
      <c r="M99" s="42">
        <f t="shared" si="5"/>
        <v>1.1976470588235326</v>
      </c>
      <c r="N99" s="42">
        <f t="shared" si="6"/>
        <v>1.4343584775086582</v>
      </c>
      <c r="O99" s="42">
        <f t="shared" si="7"/>
        <v>3.8131472071181141</v>
      </c>
    </row>
    <row r="100" spans="1:15" x14ac:dyDescent="0.25">
      <c r="A100" s="6" t="s">
        <v>943</v>
      </c>
      <c r="B100" s="6">
        <v>67.33</v>
      </c>
      <c r="C100" s="6">
        <v>6.01</v>
      </c>
      <c r="G100" s="41">
        <v>67.33</v>
      </c>
      <c r="H100" s="42">
        <v>75.746134453781551</v>
      </c>
      <c r="I100" s="42">
        <f t="shared" si="4"/>
        <v>-8.4161344537815523</v>
      </c>
      <c r="K100" s="41">
        <v>6.01</v>
      </c>
      <c r="L100" s="42">
        <v>8.8323529411764667</v>
      </c>
      <c r="M100" s="42">
        <f t="shared" si="5"/>
        <v>-2.822352941176467</v>
      </c>
      <c r="N100" s="42">
        <f t="shared" si="6"/>
        <v>7.9656761245674534</v>
      </c>
      <c r="O100" s="42">
        <f t="shared" si="7"/>
        <v>23.753301828966961</v>
      </c>
    </row>
    <row r="101" spans="1:15" x14ac:dyDescent="0.25">
      <c r="A101" s="6" t="s">
        <v>946</v>
      </c>
      <c r="B101" s="6">
        <v>66.72</v>
      </c>
      <c r="C101" s="6">
        <v>5.08</v>
      </c>
      <c r="G101" s="41">
        <v>66.72</v>
      </c>
      <c r="H101" s="42">
        <v>75.746134453781551</v>
      </c>
      <c r="I101" s="42">
        <f t="shared" si="4"/>
        <v>-9.0261344537815518</v>
      </c>
      <c r="K101" s="41">
        <v>5.08</v>
      </c>
      <c r="L101" s="42">
        <v>8.8323529411764667</v>
      </c>
      <c r="M101" s="42">
        <f t="shared" si="5"/>
        <v>-3.7523529411764667</v>
      </c>
      <c r="N101" s="42">
        <f t="shared" si="6"/>
        <v>14.080152595155679</v>
      </c>
      <c r="O101" s="42">
        <f t="shared" si="7"/>
        <v>33.869242165101447</v>
      </c>
    </row>
    <row r="102" spans="1:15" x14ac:dyDescent="0.25">
      <c r="A102" s="6" t="s">
        <v>949</v>
      </c>
      <c r="B102" s="6">
        <v>70.849999999999994</v>
      </c>
      <c r="C102" s="6">
        <v>7.17</v>
      </c>
      <c r="G102" s="41">
        <v>70.849999999999994</v>
      </c>
      <c r="H102" s="42">
        <v>75.746134453781551</v>
      </c>
      <c r="I102" s="42">
        <f t="shared" si="4"/>
        <v>-4.8961344537815563</v>
      </c>
      <c r="K102" s="41">
        <v>7.17</v>
      </c>
      <c r="L102" s="42">
        <v>8.8323529411764667</v>
      </c>
      <c r="M102" s="42">
        <f t="shared" si="5"/>
        <v>-1.6623529411764668</v>
      </c>
      <c r="N102" s="42">
        <f t="shared" si="6"/>
        <v>2.7634173010380496</v>
      </c>
      <c r="O102" s="42">
        <f t="shared" si="7"/>
        <v>8.1391035096392041</v>
      </c>
    </row>
    <row r="103" spans="1:15" x14ac:dyDescent="0.25">
      <c r="A103" s="6" t="s">
        <v>952</v>
      </c>
      <c r="B103" s="6">
        <v>69.78</v>
      </c>
      <c r="C103" s="6">
        <v>6.1</v>
      </c>
      <c r="G103" s="41">
        <v>69.78</v>
      </c>
      <c r="H103" s="42">
        <v>75.746134453781551</v>
      </c>
      <c r="I103" s="42">
        <f t="shared" si="4"/>
        <v>-5.9661344537815495</v>
      </c>
      <c r="K103" s="41">
        <v>6.1</v>
      </c>
      <c r="L103" s="42">
        <v>8.8323529411764667</v>
      </c>
      <c r="M103" s="42">
        <f t="shared" si="5"/>
        <v>-2.7323529411764671</v>
      </c>
      <c r="N103" s="42">
        <f t="shared" si="6"/>
        <v>7.4657525951556902</v>
      </c>
      <c r="O103" s="42">
        <f t="shared" si="7"/>
        <v>16.301585022244272</v>
      </c>
    </row>
    <row r="104" spans="1:15" x14ac:dyDescent="0.25">
      <c r="A104" s="6" t="s">
        <v>956</v>
      </c>
      <c r="B104" s="6">
        <v>81.88</v>
      </c>
      <c r="C104" s="6">
        <v>10.92</v>
      </c>
      <c r="G104" s="41">
        <v>81.88</v>
      </c>
      <c r="H104" s="42">
        <v>75.746134453781551</v>
      </c>
      <c r="I104" s="42">
        <f t="shared" si="4"/>
        <v>6.1338655462184448</v>
      </c>
      <c r="K104" s="41">
        <v>10.92</v>
      </c>
      <c r="L104" s="42">
        <v>8.8323529411764667</v>
      </c>
      <c r="M104" s="42">
        <f t="shared" si="5"/>
        <v>2.0876470588235332</v>
      </c>
      <c r="N104" s="42">
        <f t="shared" si="6"/>
        <v>4.358270242214549</v>
      </c>
      <c r="O104" s="42">
        <f t="shared" si="7"/>
        <v>12.805346366781942</v>
      </c>
    </row>
    <row r="105" spans="1:15" x14ac:dyDescent="0.25">
      <c r="A105" s="6" t="s">
        <v>960</v>
      </c>
      <c r="B105" s="6">
        <v>81.44</v>
      </c>
      <c r="C105" s="6">
        <v>10.82</v>
      </c>
      <c r="G105" s="41">
        <v>81.44</v>
      </c>
      <c r="H105" s="42">
        <v>75.746134453781551</v>
      </c>
      <c r="I105" s="42">
        <f t="shared" si="4"/>
        <v>5.6938655462184471</v>
      </c>
      <c r="K105" s="41">
        <v>10.82</v>
      </c>
      <c r="L105" s="42">
        <v>8.8323529411764667</v>
      </c>
      <c r="M105" s="42">
        <f t="shared" si="5"/>
        <v>1.9876470588235335</v>
      </c>
      <c r="N105" s="42">
        <f t="shared" si="6"/>
        <v>3.9507408304498433</v>
      </c>
      <c r="O105" s="42">
        <f t="shared" si="7"/>
        <v>11.317395106277749</v>
      </c>
    </row>
    <row r="106" spans="1:15" x14ac:dyDescent="0.25">
      <c r="A106" s="6" t="s">
        <v>964</v>
      </c>
      <c r="B106" s="6">
        <v>84.68</v>
      </c>
      <c r="C106" s="6">
        <v>11.14</v>
      </c>
      <c r="G106" s="41">
        <v>84.68</v>
      </c>
      <c r="H106" s="42">
        <v>75.746134453781551</v>
      </c>
      <c r="I106" s="42">
        <f t="shared" si="4"/>
        <v>8.9338655462184562</v>
      </c>
      <c r="K106" s="41">
        <v>11.14</v>
      </c>
      <c r="L106" s="42">
        <v>8.8323529411764667</v>
      </c>
      <c r="M106" s="42">
        <f t="shared" si="5"/>
        <v>2.3076470588235338</v>
      </c>
      <c r="N106" s="42">
        <f t="shared" si="6"/>
        <v>5.3252349480969059</v>
      </c>
      <c r="O106" s="42">
        <f t="shared" si="7"/>
        <v>20.616208551655923</v>
      </c>
    </row>
    <row r="107" spans="1:15" x14ac:dyDescent="0.25">
      <c r="A107" s="6" t="s">
        <v>968</v>
      </c>
      <c r="B107" s="6">
        <v>77.790000000000006</v>
      </c>
      <c r="C107" s="6">
        <v>9.7200000000000006</v>
      </c>
      <c r="G107" s="41">
        <v>77.790000000000006</v>
      </c>
      <c r="H107" s="42">
        <v>75.746134453781551</v>
      </c>
      <c r="I107" s="42">
        <f t="shared" si="4"/>
        <v>2.0438655462184556</v>
      </c>
      <c r="K107" s="41">
        <v>9.7200000000000006</v>
      </c>
      <c r="L107" s="42">
        <v>8.8323529411764667</v>
      </c>
      <c r="M107" s="42">
        <f t="shared" si="5"/>
        <v>0.8876470588235339</v>
      </c>
      <c r="N107" s="42">
        <f t="shared" si="6"/>
        <v>0.78791730103807023</v>
      </c>
      <c r="O107" s="42">
        <f t="shared" si="7"/>
        <v>1.8142312407315677</v>
      </c>
    </row>
    <row r="108" spans="1:15" x14ac:dyDescent="0.25">
      <c r="A108" s="6" t="s">
        <v>971</v>
      </c>
      <c r="B108" s="6">
        <v>78.900000000000006</v>
      </c>
      <c r="C108" s="6">
        <v>9.94</v>
      </c>
      <c r="G108" s="41">
        <v>78.900000000000006</v>
      </c>
      <c r="H108" s="42">
        <v>75.746134453781551</v>
      </c>
      <c r="I108" s="42">
        <f t="shared" si="4"/>
        <v>3.1538655462184551</v>
      </c>
      <c r="K108" s="41">
        <v>9.94</v>
      </c>
      <c r="L108" s="42">
        <v>8.8323529411764667</v>
      </c>
      <c r="M108" s="42">
        <f t="shared" si="5"/>
        <v>1.1076470588235328</v>
      </c>
      <c r="N108" s="42">
        <f t="shared" si="6"/>
        <v>1.2268820069204227</v>
      </c>
      <c r="O108" s="42">
        <f t="shared" si="7"/>
        <v>3.4933698961937463</v>
      </c>
    </row>
    <row r="109" spans="1:15" x14ac:dyDescent="0.25">
      <c r="A109" s="6" t="s">
        <v>973</v>
      </c>
      <c r="B109" s="6">
        <v>81.760000000000005</v>
      </c>
      <c r="C109" s="6">
        <v>11.38</v>
      </c>
      <c r="G109" s="41">
        <v>81.760000000000005</v>
      </c>
      <c r="H109" s="42">
        <v>75.746134453781551</v>
      </c>
      <c r="I109" s="42">
        <f t="shared" si="4"/>
        <v>6.0138655462184545</v>
      </c>
      <c r="K109" s="41">
        <v>11.38</v>
      </c>
      <c r="L109" s="42">
        <v>8.8323529411764667</v>
      </c>
      <c r="M109" s="42">
        <f t="shared" si="5"/>
        <v>2.547647058823534</v>
      </c>
      <c r="N109" s="42">
        <f t="shared" si="6"/>
        <v>6.4905055363322033</v>
      </c>
      <c r="O109" s="42">
        <f t="shared" si="7"/>
        <v>15.321206870983632</v>
      </c>
    </row>
    <row r="110" spans="1:15" x14ac:dyDescent="0.25">
      <c r="A110" s="6" t="s">
        <v>977</v>
      </c>
      <c r="B110" s="6">
        <v>84.51</v>
      </c>
      <c r="C110" s="6">
        <v>12.11</v>
      </c>
      <c r="G110" s="41">
        <v>84.51</v>
      </c>
      <c r="H110" s="42">
        <v>75.746134453781551</v>
      </c>
      <c r="I110" s="42">
        <f t="shared" si="4"/>
        <v>8.7638655462184545</v>
      </c>
      <c r="K110" s="41">
        <v>12.11</v>
      </c>
      <c r="L110" s="42">
        <v>8.8323529411764667</v>
      </c>
      <c r="M110" s="42">
        <f t="shared" si="5"/>
        <v>3.2776470588235327</v>
      </c>
      <c r="N110" s="42">
        <f t="shared" si="6"/>
        <v>10.742970242214554</v>
      </c>
      <c r="O110" s="42">
        <f t="shared" si="7"/>
        <v>28.72485813148781</v>
      </c>
    </row>
    <row r="111" spans="1:15" x14ac:dyDescent="0.25">
      <c r="A111" s="6" t="s">
        <v>980</v>
      </c>
      <c r="B111" s="6">
        <v>84.69</v>
      </c>
      <c r="C111" s="6">
        <v>10.89</v>
      </c>
      <c r="G111" s="41">
        <v>84.69</v>
      </c>
      <c r="H111" s="42">
        <v>75.746134453781551</v>
      </c>
      <c r="I111" s="42">
        <f t="shared" si="4"/>
        <v>8.9438655462184471</v>
      </c>
      <c r="K111" s="41">
        <v>10.89</v>
      </c>
      <c r="L111" s="42">
        <v>8.8323529411764667</v>
      </c>
      <c r="M111" s="42">
        <f t="shared" si="5"/>
        <v>2.0576470588235338</v>
      </c>
      <c r="N111" s="42">
        <f t="shared" si="6"/>
        <v>4.233911418685139</v>
      </c>
      <c r="O111" s="42">
        <f t="shared" si="7"/>
        <v>18.403318635689526</v>
      </c>
    </row>
    <row r="112" spans="1:15" x14ac:dyDescent="0.25">
      <c r="A112" s="6" t="s">
        <v>984</v>
      </c>
      <c r="B112" s="6">
        <v>79.69</v>
      </c>
      <c r="C112" s="6">
        <v>9.8699999999999992</v>
      </c>
      <c r="G112" s="41">
        <v>79.69</v>
      </c>
      <c r="H112" s="42">
        <v>75.746134453781551</v>
      </c>
      <c r="I112" s="42">
        <f t="shared" si="4"/>
        <v>3.9438655462184471</v>
      </c>
      <c r="K112" s="41">
        <v>9.8699999999999992</v>
      </c>
      <c r="L112" s="42">
        <v>8.8323529411764667</v>
      </c>
      <c r="M112" s="42">
        <f t="shared" si="5"/>
        <v>1.0376470588235325</v>
      </c>
      <c r="N112" s="42">
        <f t="shared" si="6"/>
        <v>1.0767114186851274</v>
      </c>
      <c r="O112" s="42">
        <f t="shared" si="7"/>
        <v>4.0923404844290356</v>
      </c>
    </row>
    <row r="113" spans="1:15" x14ac:dyDescent="0.25">
      <c r="A113" s="6" t="s">
        <v>988</v>
      </c>
      <c r="B113" s="6">
        <v>70.88</v>
      </c>
      <c r="C113" s="6">
        <v>7.16</v>
      </c>
      <c r="G113" s="41">
        <v>70.88</v>
      </c>
      <c r="H113" s="42">
        <v>75.746134453781551</v>
      </c>
      <c r="I113" s="42">
        <f t="shared" si="4"/>
        <v>-4.8661344537815552</v>
      </c>
      <c r="K113" s="41">
        <v>7.16</v>
      </c>
      <c r="L113" s="42">
        <v>8.8323529411764667</v>
      </c>
      <c r="M113" s="42">
        <f t="shared" si="5"/>
        <v>-1.6723529411764666</v>
      </c>
      <c r="N113" s="42">
        <f t="shared" si="6"/>
        <v>2.7967643598615783</v>
      </c>
      <c r="O113" s="42">
        <f t="shared" si="7"/>
        <v>8.137894265941723</v>
      </c>
    </row>
    <row r="114" spans="1:15" x14ac:dyDescent="0.25">
      <c r="A114" s="6" t="s">
        <v>990</v>
      </c>
      <c r="B114" s="6">
        <v>68.33</v>
      </c>
      <c r="C114" s="6">
        <v>6.61</v>
      </c>
      <c r="G114" s="41">
        <v>68.33</v>
      </c>
      <c r="H114" s="42">
        <v>75.746134453781551</v>
      </c>
      <c r="I114" s="42">
        <f t="shared" si="4"/>
        <v>-7.4161344537815523</v>
      </c>
      <c r="K114" s="41">
        <v>6.61</v>
      </c>
      <c r="L114" s="42">
        <v>8.8323529411764667</v>
      </c>
      <c r="M114" s="42">
        <f t="shared" si="5"/>
        <v>-2.2223529411764664</v>
      </c>
      <c r="N114" s="42">
        <f t="shared" si="6"/>
        <v>4.9388525951556908</v>
      </c>
      <c r="O114" s="42">
        <f t="shared" si="7"/>
        <v>16.48126821552156</v>
      </c>
    </row>
    <row r="115" spans="1:15" x14ac:dyDescent="0.25">
      <c r="A115" s="6" t="s">
        <v>994</v>
      </c>
      <c r="B115" s="6">
        <v>76.19</v>
      </c>
      <c r="C115" s="6">
        <v>9.06</v>
      </c>
      <c r="G115" s="41">
        <v>76.19</v>
      </c>
      <c r="H115" s="42">
        <v>75.746134453781551</v>
      </c>
      <c r="I115" s="42">
        <f t="shared" si="4"/>
        <v>0.44386554621844709</v>
      </c>
      <c r="K115" s="41">
        <v>9.06</v>
      </c>
      <c r="L115" s="42">
        <v>8.8323529411764667</v>
      </c>
      <c r="M115" s="42">
        <f t="shared" si="5"/>
        <v>0.22764705882353375</v>
      </c>
      <c r="N115" s="42">
        <f t="shared" si="6"/>
        <v>5.1823183391005438E-2</v>
      </c>
      <c r="O115" s="42">
        <f t="shared" si="7"/>
        <v>0.10104468610973076</v>
      </c>
    </row>
    <row r="116" spans="1:15" x14ac:dyDescent="0.25">
      <c r="A116" s="6" t="s">
        <v>998</v>
      </c>
      <c r="B116" s="6">
        <v>73.28</v>
      </c>
      <c r="C116" s="6">
        <v>7.88</v>
      </c>
      <c r="G116" s="41">
        <v>73.28</v>
      </c>
      <c r="H116" s="42">
        <v>75.746134453781551</v>
      </c>
      <c r="I116" s="42">
        <f t="shared" si="4"/>
        <v>-2.4661344537815495</v>
      </c>
      <c r="K116" s="41">
        <v>7.88</v>
      </c>
      <c r="L116" s="42">
        <v>8.8323529411764667</v>
      </c>
      <c r="M116" s="42">
        <f t="shared" si="5"/>
        <v>-0.95235294117646685</v>
      </c>
      <c r="N116" s="42">
        <f t="shared" si="6"/>
        <v>0.9069761245674669</v>
      </c>
      <c r="O116" s="42">
        <f t="shared" si="7"/>
        <v>2.3486304003954781</v>
      </c>
    </row>
    <row r="117" spans="1:15" x14ac:dyDescent="0.25">
      <c r="A117" s="6" t="s">
        <v>1002</v>
      </c>
      <c r="B117" s="6">
        <v>81.53</v>
      </c>
      <c r="C117" s="6">
        <v>11.14</v>
      </c>
      <c r="G117" s="41">
        <v>81.53</v>
      </c>
      <c r="H117" s="42">
        <v>75.746134453781551</v>
      </c>
      <c r="I117" s="42">
        <f t="shared" si="4"/>
        <v>5.7838655462184505</v>
      </c>
      <c r="K117" s="41">
        <v>11.14</v>
      </c>
      <c r="L117" s="42">
        <v>8.8323529411764667</v>
      </c>
      <c r="M117" s="42">
        <f t="shared" si="5"/>
        <v>2.3076470588235338</v>
      </c>
      <c r="N117" s="42">
        <f t="shared" si="6"/>
        <v>5.3252349480969059</v>
      </c>
      <c r="O117" s="42">
        <f t="shared" si="7"/>
        <v>13.34712031636178</v>
      </c>
    </row>
    <row r="118" spans="1:15" x14ac:dyDescent="0.25">
      <c r="A118" s="6" t="s">
        <v>1005</v>
      </c>
      <c r="B118" s="6">
        <v>78.83</v>
      </c>
      <c r="C118" s="6">
        <v>10.39</v>
      </c>
      <c r="G118" s="41">
        <v>78.83</v>
      </c>
      <c r="H118" s="42">
        <v>75.746134453781551</v>
      </c>
      <c r="I118" s="42">
        <f t="shared" si="4"/>
        <v>3.0838655462184477</v>
      </c>
      <c r="K118" s="41">
        <v>10.39</v>
      </c>
      <c r="L118" s="42">
        <v>8.8323529411764667</v>
      </c>
      <c r="M118" s="42">
        <f t="shared" si="5"/>
        <v>1.5576470588235338</v>
      </c>
      <c r="N118" s="42">
        <f t="shared" si="6"/>
        <v>2.4262643598616056</v>
      </c>
      <c r="O118" s="42">
        <f t="shared" si="7"/>
        <v>4.8035740978743959</v>
      </c>
    </row>
    <row r="119" spans="1:15" x14ac:dyDescent="0.25">
      <c r="A119" s="6" t="s">
        <v>1009</v>
      </c>
      <c r="B119" s="6">
        <v>76.900000000000006</v>
      </c>
      <c r="C119" s="6">
        <v>8.93</v>
      </c>
      <c r="G119" s="41">
        <v>76.900000000000006</v>
      </c>
      <c r="H119" s="42">
        <v>75.746134453781551</v>
      </c>
      <c r="I119" s="42">
        <f t="shared" si="4"/>
        <v>1.1538655462184551</v>
      </c>
      <c r="K119" s="41">
        <v>8.93</v>
      </c>
      <c r="L119" s="42">
        <v>8.8323529411764667</v>
      </c>
      <c r="M119" s="42">
        <f t="shared" si="5"/>
        <v>9.7647058823532973E-2</v>
      </c>
      <c r="N119" s="42">
        <f t="shared" si="6"/>
        <v>9.5349480968865089E-3</v>
      </c>
      <c r="O119" s="42">
        <f t="shared" si="7"/>
        <v>0.11267157686604148</v>
      </c>
    </row>
    <row r="120" spans="1:15" x14ac:dyDescent="0.25">
      <c r="A120" s="6" t="s">
        <v>1013</v>
      </c>
      <c r="B120" s="6">
        <v>84.16</v>
      </c>
      <c r="C120" s="6">
        <v>11.86</v>
      </c>
      <c r="G120" s="41">
        <v>84.16</v>
      </c>
      <c r="H120" s="42">
        <v>75.746134453781551</v>
      </c>
      <c r="I120" s="42">
        <f t="shared" si="4"/>
        <v>8.413865546218446</v>
      </c>
      <c r="K120" s="41">
        <v>11.86</v>
      </c>
      <c r="L120" s="42">
        <v>8.8323529411764667</v>
      </c>
      <c r="M120" s="42">
        <f t="shared" si="5"/>
        <v>3.0276470588235327</v>
      </c>
      <c r="N120" s="42">
        <f t="shared" si="6"/>
        <v>9.1666467128027875</v>
      </c>
      <c r="O120" s="42">
        <f t="shared" si="7"/>
        <v>25.474215274344935</v>
      </c>
    </row>
    <row r="121" spans="1:15" ht="13" x14ac:dyDescent="0.3">
      <c r="B121" s="23" t="s">
        <v>1729</v>
      </c>
      <c r="C121" s="23" t="s">
        <v>1730</v>
      </c>
      <c r="I121" s="37" t="s">
        <v>1738</v>
      </c>
      <c r="M121" s="39" t="s">
        <v>1736</v>
      </c>
      <c r="N121" s="38" t="s">
        <v>1737</v>
      </c>
      <c r="O121" s="37" t="s">
        <v>1735</v>
      </c>
    </row>
    <row r="122" spans="1:15" ht="13" x14ac:dyDescent="0.3">
      <c r="B122" s="23">
        <f>AVERAGE(B2:B120)</f>
        <v>75.746134453781551</v>
      </c>
      <c r="C122" s="23">
        <f>AVERAGE(C2:C120)</f>
        <v>8.8323529411764667</v>
      </c>
      <c r="I122" s="37">
        <f>SUM(I2:I120)</f>
        <v>-4.6185277824406512E-12</v>
      </c>
      <c r="M122" s="39">
        <f>SUM(M2:M120)</f>
        <v>4.5830006456526462E-13</v>
      </c>
      <c r="N122" s="38">
        <f>SUM(N2:N120)</f>
        <v>319.19214117647056</v>
      </c>
      <c r="O122" s="37">
        <f>SUM(O2:O120)</f>
        <v>917.66998235294102</v>
      </c>
    </row>
    <row r="125" spans="1:15" ht="20" x14ac:dyDescent="0.4">
      <c r="H125" s="40" t="s">
        <v>1739</v>
      </c>
      <c r="I125" s="40">
        <f>O122/N122</f>
        <v>2.8749767427563082</v>
      </c>
    </row>
    <row r="126" spans="1:15" ht="20" x14ac:dyDescent="0.4">
      <c r="H126" s="40" t="s">
        <v>1740</v>
      </c>
      <c r="I126" s="40">
        <f>B122-(I125*C122)</f>
        <v>50.353325164083934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topLeftCell="A94" workbookViewId="0">
      <selection sqref="A1:A120"/>
    </sheetView>
  </sheetViews>
  <sheetFormatPr defaultRowHeight="12.5" x14ac:dyDescent="0.25"/>
  <cols>
    <col min="1" max="1" width="29.81640625" customWidth="1"/>
  </cols>
  <sheetData>
    <row r="1" spans="1:11" ht="13.15" customHeight="1" x14ac:dyDescent="0.3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1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1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1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1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1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1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1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1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1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1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1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1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1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1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1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6328125" defaultRowHeight="15.75" customHeight="1" x14ac:dyDescent="0.25"/>
  <sheetData>
    <row r="1" spans="1:60" ht="42.5" customHeight="1" x14ac:dyDescent="0.3">
      <c r="A1" s="30" t="s">
        <v>0</v>
      </c>
      <c r="B1" s="32" t="s">
        <v>1</v>
      </c>
      <c r="C1" s="27" t="s">
        <v>2</v>
      </c>
      <c r="D1" s="28"/>
      <c r="E1" s="28"/>
      <c r="F1" s="28"/>
      <c r="G1" s="29"/>
      <c r="H1" s="33" t="s">
        <v>3</v>
      </c>
      <c r="I1" s="28"/>
      <c r="J1" s="28"/>
      <c r="K1" s="28"/>
      <c r="L1" s="29"/>
      <c r="M1" s="27" t="s">
        <v>4</v>
      </c>
      <c r="N1" s="28"/>
      <c r="O1" s="28"/>
      <c r="P1" s="28"/>
      <c r="Q1" s="29"/>
      <c r="R1" s="34" t="s">
        <v>5</v>
      </c>
      <c r="S1" s="28"/>
      <c r="T1" s="28"/>
      <c r="U1" s="28"/>
      <c r="V1" s="29"/>
      <c r="W1" s="35" t="s">
        <v>6</v>
      </c>
      <c r="X1" s="28"/>
      <c r="Y1" s="28"/>
      <c r="Z1" s="28"/>
      <c r="AA1" s="29"/>
      <c r="AB1" s="36" t="s">
        <v>7</v>
      </c>
      <c r="AC1" s="28"/>
      <c r="AD1" s="29"/>
      <c r="AE1" s="27" t="s">
        <v>8</v>
      </c>
      <c r="AF1" s="28"/>
      <c r="AG1" s="28"/>
      <c r="AH1" s="28"/>
      <c r="AI1" s="29"/>
      <c r="AJ1" s="34" t="s">
        <v>9</v>
      </c>
      <c r="AK1" s="28"/>
      <c r="AL1" s="28"/>
      <c r="AM1" s="28"/>
      <c r="AN1" s="29"/>
      <c r="AO1" s="27" t="s">
        <v>10</v>
      </c>
      <c r="AP1" s="28"/>
      <c r="AQ1" s="28"/>
      <c r="AR1" s="28"/>
      <c r="AS1" s="29"/>
      <c r="AT1" s="34" t="s">
        <v>11</v>
      </c>
      <c r="AU1" s="28"/>
      <c r="AV1" s="28"/>
      <c r="AW1" s="28"/>
      <c r="AX1" s="29"/>
      <c r="AY1" s="27" t="s">
        <v>12</v>
      </c>
      <c r="AZ1" s="28"/>
      <c r="BA1" s="28"/>
      <c r="BB1" s="28"/>
      <c r="BC1" s="29"/>
      <c r="BD1" s="1"/>
      <c r="BE1" s="2"/>
      <c r="BF1" s="2"/>
      <c r="BG1" s="2"/>
      <c r="BH1" s="2"/>
    </row>
    <row r="2" spans="1:60" ht="13" x14ac:dyDescent="0.3">
      <c r="A2" s="31"/>
      <c r="B2" s="31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Jawaban Rere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Retno Sari</cp:lastModifiedBy>
  <dcterms:created xsi:type="dcterms:W3CDTF">2026-02-03T07:32:32Z</dcterms:created>
  <dcterms:modified xsi:type="dcterms:W3CDTF">2026-02-04T05:26:52Z</dcterms:modified>
</cp:coreProperties>
</file>